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edl\Desktop\"/>
    </mc:Choice>
  </mc:AlternateContent>
  <xr:revisionPtr revIDLastSave="0" documentId="13_ncr:1_{17D953B5-50FA-4A6A-9370-4BEB5DD4EA9D}" xr6:coauthVersionLast="47" xr6:coauthVersionMax="47" xr10:uidLastSave="{00000000-0000-0000-0000-000000000000}"/>
  <bookViews>
    <workbookView xWindow="-120" yWindow="-120" windowWidth="29040" windowHeight="16440" activeTab="1" xr2:uid="{6DA2E4E3-A846-41D9-9686-254D9464095F}"/>
  </bookViews>
  <sheets>
    <sheet name="Utilisation" sheetId="2" r:id="rId1"/>
    <sheet name="Candidats" sheetId="1" r:id="rId2"/>
    <sheet name="Listes" sheetId="3" state="hidden" r:id="rId3"/>
    <sheet name="Scrutateur" sheetId="4" state="hidden" r:id="rId4"/>
  </sheets>
  <definedNames>
    <definedName name="Liste_Catég.">Listes!$A$2:$A$22</definedName>
    <definedName name="ListePara">Listes!$G$2:$G$10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01" i="1" l="1"/>
  <c r="A100" i="4"/>
  <c r="B100" i="4"/>
  <c r="C100" i="4"/>
  <c r="D100" i="4"/>
  <c r="E100" i="4"/>
  <c r="B100" i="1" s="1"/>
  <c r="A101" i="4"/>
  <c r="B101" i="4"/>
  <c r="C101" i="4"/>
  <c r="D101" i="4"/>
  <c r="E101" i="4"/>
  <c r="A102" i="4"/>
  <c r="B102" i="4"/>
  <c r="C102" i="4"/>
  <c r="D102" i="4"/>
  <c r="E102" i="4"/>
  <c r="A96" i="4"/>
  <c r="B96" i="4"/>
  <c r="C96" i="4"/>
  <c r="D96" i="4"/>
  <c r="E96" i="4"/>
  <c r="B96" i="1" s="1"/>
  <c r="A97" i="4"/>
  <c r="B97" i="4"/>
  <c r="C97" i="4"/>
  <c r="D97" i="4"/>
  <c r="E97" i="4"/>
  <c r="B97" i="1" s="1"/>
  <c r="A98" i="4"/>
  <c r="B98" i="4"/>
  <c r="C98" i="4"/>
  <c r="D98" i="4"/>
  <c r="E98" i="4"/>
  <c r="B98" i="1" s="1"/>
  <c r="A99" i="4"/>
  <c r="B99" i="4"/>
  <c r="C99" i="4"/>
  <c r="D99" i="4"/>
  <c r="E99" i="4"/>
  <c r="B99" i="1" s="1"/>
  <c r="E2" i="3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B95" i="1" s="1"/>
  <c r="E4" i="4"/>
  <c r="E5" i="4"/>
  <c r="E6" i="4"/>
  <c r="D4" i="4" l="1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3" i="4"/>
  <c r="B5" i="1"/>
  <c r="B7" i="1"/>
  <c r="B13" i="1"/>
  <c r="B14" i="1"/>
  <c r="B15" i="1"/>
  <c r="B16" i="1"/>
  <c r="B17" i="1"/>
  <c r="B18" i="1"/>
  <c r="B19" i="1"/>
  <c r="B20" i="1"/>
  <c r="B27" i="1"/>
  <c r="B29" i="1"/>
  <c r="B30" i="1"/>
  <c r="B31" i="1"/>
  <c r="B32" i="1"/>
  <c r="B33" i="1"/>
  <c r="B34" i="1"/>
  <c r="B35" i="1"/>
  <c r="B36" i="1"/>
  <c r="B37" i="1"/>
  <c r="B38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62" i="1"/>
  <c r="B63" i="1"/>
  <c r="B64" i="1"/>
  <c r="B65" i="1"/>
  <c r="B66" i="1"/>
  <c r="B67" i="1"/>
  <c r="B68" i="1"/>
  <c r="B69" i="1"/>
  <c r="B70" i="1"/>
  <c r="B72" i="1"/>
  <c r="B74" i="1"/>
  <c r="B75" i="1"/>
  <c r="B76" i="1"/>
  <c r="B77" i="1"/>
  <c r="B78" i="1"/>
  <c r="B79" i="1"/>
  <c r="B80" i="1"/>
  <c r="B85" i="1"/>
  <c r="B86" i="1"/>
  <c r="B89" i="1"/>
  <c r="B90" i="1"/>
  <c r="B91" i="1"/>
  <c r="B92" i="1"/>
  <c r="B93" i="1"/>
  <c r="B94" i="1"/>
  <c r="B102" i="1"/>
  <c r="B21" i="1"/>
  <c r="B22" i="1"/>
  <c r="B23" i="1"/>
  <c r="B39" i="1"/>
  <c r="B55" i="1"/>
  <c r="B71" i="1"/>
  <c r="B87" i="1"/>
  <c r="B4" i="1"/>
  <c r="B6" i="1"/>
  <c r="B24" i="1"/>
  <c r="B25" i="1"/>
  <c r="B26" i="1"/>
  <c r="B28" i="1"/>
  <c r="B56" i="1"/>
  <c r="B57" i="1"/>
  <c r="B58" i="1"/>
  <c r="B59" i="1"/>
  <c r="B60" i="1"/>
  <c r="B61" i="1"/>
  <c r="B73" i="1"/>
  <c r="B81" i="1"/>
  <c r="B82" i="1"/>
  <c r="B83" i="1"/>
  <c r="B84" i="1"/>
  <c r="B88" i="1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1" i="4"/>
  <c r="B11" i="1" s="1"/>
  <c r="B10" i="4"/>
  <c r="B10" i="1" s="1"/>
  <c r="B9" i="4"/>
  <c r="B9" i="1" s="1"/>
  <c r="B7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B12" i="4" s="1"/>
  <c r="A11" i="4"/>
  <c r="A10" i="4"/>
  <c r="A9" i="4"/>
  <c r="A8" i="4"/>
  <c r="B8" i="4" s="1"/>
  <c r="B8" i="1" s="1"/>
  <c r="A7" i="4"/>
  <c r="A6" i="4"/>
  <c r="B6" i="4" s="1"/>
  <c r="A5" i="4"/>
  <c r="B5" i="4" s="1"/>
  <c r="A4" i="4"/>
  <c r="B4" i="4" s="1"/>
  <c r="A3" i="4"/>
  <c r="B3" i="4" s="1"/>
  <c r="E3" i="4" s="1"/>
  <c r="B3" i="1" s="1"/>
  <c r="B12" i="1" l="1"/>
</calcChain>
</file>

<file path=xl/sharedStrings.xml><?xml version="1.0" encoding="utf-8"?>
<sst xmlns="http://schemas.openxmlformats.org/spreadsheetml/2006/main" count="80" uniqueCount="71">
  <si>
    <t>Référence de la saison</t>
  </si>
  <si>
    <t>Catégorie</t>
  </si>
  <si>
    <t>Résident</t>
  </si>
  <si>
    <t>Date de Naissance</t>
  </si>
  <si>
    <t>Passage</t>
  </si>
  <si>
    <t>Participant 1</t>
  </si>
  <si>
    <t>Comment ça fonctionne ?</t>
  </si>
  <si>
    <t>1.</t>
  </si>
  <si>
    <t>2.</t>
  </si>
  <si>
    <t>3.</t>
  </si>
  <si>
    <t>4.</t>
  </si>
  <si>
    <t>5.</t>
  </si>
  <si>
    <t>6.</t>
  </si>
  <si>
    <t>7.</t>
  </si>
  <si>
    <r>
      <t xml:space="preserve">Lorsque les inscriptions sont closes et que vous décidez de l'ordre de passage, mettre le chiffre correspondant en face du candidat </t>
    </r>
    <r>
      <rPr>
        <b/>
        <sz val="12"/>
        <color rgb="FF000000"/>
        <rFont val="Arial"/>
        <family val="2"/>
      </rPr>
      <t>dans la colonne A</t>
    </r>
  </si>
  <si>
    <t>Vous transmettez le fichier complété au scrutateur désigné pour la compétition.</t>
  </si>
  <si>
    <t>Formulaire de gestion des inscriptions Pole Dance</t>
  </si>
  <si>
    <t>Catégories</t>
  </si>
  <si>
    <t>Junior 1</t>
  </si>
  <si>
    <t>Junior 2</t>
  </si>
  <si>
    <t>Master 40+ Femme</t>
  </si>
  <si>
    <t>Master 40+ Homme</t>
  </si>
  <si>
    <t>Master 50+ Femme</t>
  </si>
  <si>
    <t>Master 50+ Homme</t>
  </si>
  <si>
    <t>Adultes Femmes</t>
  </si>
  <si>
    <t>Adultes Hommes</t>
  </si>
  <si>
    <t>Doubles Juniors 2</t>
  </si>
  <si>
    <t>Doubles Adultes</t>
  </si>
  <si>
    <t>Parapole - Déficience visuelle</t>
  </si>
  <si>
    <t>Parapole - Altération de la capacité musculaire</t>
  </si>
  <si>
    <t>Parapole - Altération de l'amplitude des mouvements</t>
  </si>
  <si>
    <t>Parapole - Déficience d'un membre</t>
  </si>
  <si>
    <t>Parapole - Différence de longueur des jambes</t>
  </si>
  <si>
    <t>Parapole - Petite taille</t>
  </si>
  <si>
    <t>Parapole - Hypertonie</t>
  </si>
  <si>
    <t>Parapole - Ataxia</t>
  </si>
  <si>
    <t>Parapole - Athetosis</t>
  </si>
  <si>
    <t>-</t>
  </si>
  <si>
    <t>FIN</t>
  </si>
  <si>
    <t>Prénom</t>
  </si>
  <si>
    <t>Nom (en majuscules)</t>
  </si>
  <si>
    <t>Participant 2</t>
  </si>
  <si>
    <t>Sexe</t>
  </si>
  <si>
    <t>Femme</t>
  </si>
  <si>
    <t>Homme</t>
  </si>
  <si>
    <t>Para</t>
  </si>
  <si>
    <t>Catég. PARA</t>
  </si>
  <si>
    <t>Altération de la capacité musculaire</t>
  </si>
  <si>
    <t>Altération de l'amplitude des mouvements</t>
  </si>
  <si>
    <t>Ataxia</t>
  </si>
  <si>
    <t>Athetosis</t>
  </si>
  <si>
    <t>Déficience d'un membre</t>
  </si>
  <si>
    <t>Différence de longueur des jambes</t>
  </si>
  <si>
    <t>Hypertonie</t>
  </si>
  <si>
    <t>Déficience visuelle</t>
  </si>
  <si>
    <t>Petite taille</t>
  </si>
  <si>
    <t>Age 1</t>
  </si>
  <si>
    <t>Age 2</t>
  </si>
  <si>
    <t>Catégorie 1</t>
  </si>
  <si>
    <t>Catégorie 2</t>
  </si>
  <si>
    <t>Finale</t>
  </si>
  <si>
    <t>A remplir si Parapole</t>
  </si>
  <si>
    <t>Nul besoin de remplir la colonne passage dès le départ !</t>
  </si>
  <si>
    <t>La colonne "Catégorie" est calculée automatiquement !</t>
  </si>
  <si>
    <r>
      <t xml:space="preserve">Je rentre  le </t>
    </r>
    <r>
      <rPr>
        <b/>
        <sz val="12"/>
        <color rgb="FF000000"/>
        <rFont val="Arial"/>
        <family val="2"/>
      </rPr>
      <t>NOM DE FAMILLE du candidat</t>
    </r>
    <r>
      <rPr>
        <sz val="12"/>
        <color rgb="FF000000"/>
        <rFont val="Arial"/>
        <family val="2"/>
      </rPr>
      <t xml:space="preserve"> en colonne C et son prénom en colonne D</t>
    </r>
  </si>
  <si>
    <t>Pour les DUOS, le second candidat doit être rentré en colonnes H et I suivant le même principe</t>
  </si>
  <si>
    <t>Je rentre la date de naissance du candidat en colonne E. S'il s'agit d'un DUO, je rentre la date de naissance du second participant en colonne J</t>
  </si>
  <si>
    <r>
      <rPr>
        <b/>
        <sz val="12"/>
        <color rgb="FF000000"/>
        <rFont val="Arial"/>
        <family val="2"/>
      </rPr>
      <t>Cas des catégories PARAPOLE</t>
    </r>
    <r>
      <rPr>
        <sz val="12"/>
        <color rgb="FF000000"/>
        <rFont val="Arial"/>
        <family val="2"/>
      </rPr>
      <t xml:space="preserve"> : En colonne M, utilisez la liste déroulante pour mettre OUI, ce qui rendra la liste déroulante en colonne N active.
Choisissez ensuite dans cette liste déroulante le type de handicap. La catégorie se mettra à jour automatiquement, ne tenant plus compte de la date de naissance.</t>
    </r>
  </si>
  <si>
    <t>NOUVEAUTE : Vous devez préciser le sexe du candidat en colonne F</t>
  </si>
  <si>
    <t>NB: Cette information sert à calculer la catégorie définitive (calcul caché) et remplira automatiquement la colonne "Catégorie"</t>
  </si>
  <si>
    <r>
      <t xml:space="preserve">Si le candidat est Résident (étranger résidant en France), </t>
    </r>
    <r>
      <rPr>
        <b/>
        <sz val="12"/>
        <color rgb="FF000000"/>
        <rFont val="Arial"/>
        <family val="2"/>
      </rPr>
      <t xml:space="preserve">utilisez la liste déroulante en colonne G </t>
    </r>
    <r>
      <rPr>
        <sz val="12"/>
        <color rgb="FF000000"/>
        <rFont val="Arial"/>
        <family val="2"/>
      </rPr>
      <t>(et L dans le cas d'un résident en position 2 dans un DUO) pour le signaler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</si>
</sst>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0&quot; ans&quot;"/>
  </numFmts>
  <fonts count="14" x14ac:knownFonts="1">
    <font>
      <sz val="10"/>
      <color rgb="FF000000"/>
      <name val="Arial"/>
      <family val="2"/>
    </font>
    <font>
      <sz val="10"/>
      <color theme="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i/>
      <sz val="12"/>
      <color rgb="FF000000"/>
      <name val="Arial"/>
      <family val="2"/>
    </font>
    <font>
      <b/>
      <sz val="2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b/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rgb="FFD9EAD3"/>
      </patternFill>
    </fill>
    <fill>
      <patternFill patternType="solid">
        <fgColor rgb="FFB1D4A4"/>
        <bgColor rgb="FFD9EAD3"/>
      </patternFill>
    </fill>
    <fill>
      <patternFill patternType="solid">
        <fgColor rgb="FFD9EAD3"/>
        <bgColor rgb="FFD9EAD3"/>
      </patternFill>
    </fill>
    <fill>
      <patternFill patternType="solid">
        <fgColor theme="6" tint="0.79998168889431442"/>
        <bgColor rgb="FFD9EAD3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rgb="FFD9EAD3"/>
      </patternFill>
    </fill>
    <fill>
      <patternFill patternType="solid">
        <fgColor theme="8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0" applyFont="1"/>
    <xf numFmtId="0" fontId="9" fillId="0" borderId="0" xfId="0" applyFont="1" applyAlignment="1">
      <alignment horizontal="centerContinuous"/>
    </xf>
    <xf numFmtId="0" fontId="10" fillId="3" borderId="10" xfId="0" applyFont="1" applyFill="1" applyBorder="1" applyAlignment="1">
      <alignment horizontal="center" vertical="center"/>
    </xf>
    <xf numFmtId="0" fontId="10" fillId="4" borderId="11" xfId="0" applyFont="1" applyFill="1" applyBorder="1"/>
    <xf numFmtId="0" fontId="10" fillId="4" borderId="11" xfId="0" quotePrefix="1" applyFont="1" applyFill="1" applyBorder="1"/>
    <xf numFmtId="0" fontId="10" fillId="4" borderId="12" xfId="0" applyFont="1" applyFill="1" applyBorder="1"/>
    <xf numFmtId="0" fontId="0" fillId="0" borderId="0" xfId="0" applyAlignment="1">
      <alignment horizontal="left"/>
    </xf>
    <xf numFmtId="14" fontId="0" fillId="0" borderId="0" xfId="0" applyNumberFormat="1"/>
    <xf numFmtId="0" fontId="4" fillId="6" borderId="15" xfId="0" applyFont="1" applyFill="1" applyBorder="1" applyAlignment="1">
      <alignment horizontal="center" vertical="center" wrapText="1"/>
    </xf>
    <xf numFmtId="0" fontId="4" fillId="6" borderId="16" xfId="0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 wrapText="1"/>
    </xf>
    <xf numFmtId="0" fontId="5" fillId="6" borderId="17" xfId="0" applyFont="1" applyFill="1" applyBorder="1" applyAlignment="1">
      <alignment horizontal="center" vertical="center" wrapText="1"/>
    </xf>
    <xf numFmtId="165" fontId="2" fillId="6" borderId="1" xfId="0" applyNumberFormat="1" applyFont="1" applyFill="1" applyBorder="1"/>
    <xf numFmtId="0" fontId="3" fillId="6" borderId="1" xfId="0" applyFont="1" applyFill="1" applyBorder="1" applyAlignment="1">
      <alignment horizontal="left"/>
    </xf>
    <xf numFmtId="0" fontId="4" fillId="8" borderId="15" xfId="0" applyFont="1" applyFill="1" applyBorder="1" applyAlignment="1">
      <alignment horizontal="center" vertical="center" wrapText="1"/>
    </xf>
    <xf numFmtId="0" fontId="4" fillId="8" borderId="16" xfId="0" applyFont="1" applyFill="1" applyBorder="1" applyAlignment="1">
      <alignment horizontal="center" vertical="center"/>
    </xf>
    <xf numFmtId="0" fontId="4" fillId="8" borderId="16" xfId="0" applyFont="1" applyFill="1" applyBorder="1" applyAlignment="1">
      <alignment horizontal="center" vertical="center" wrapText="1"/>
    </xf>
    <xf numFmtId="0" fontId="5" fillId="8" borderId="17" xfId="0" applyFont="1" applyFill="1" applyBorder="1" applyAlignment="1">
      <alignment horizontal="center" vertical="center" wrapText="1"/>
    </xf>
    <xf numFmtId="165" fontId="2" fillId="8" borderId="1" xfId="0" applyNumberFormat="1" applyFont="1" applyFill="1" applyBorder="1"/>
    <xf numFmtId="0" fontId="3" fillId="8" borderId="1" xfId="0" applyFont="1" applyFill="1" applyBorder="1" applyAlignment="1">
      <alignment horizontal="left"/>
    </xf>
    <xf numFmtId="0" fontId="6" fillId="5" borderId="3" xfId="0" applyFont="1" applyFill="1" applyBorder="1" applyAlignment="1">
      <alignment vertical="center"/>
    </xf>
    <xf numFmtId="0" fontId="6" fillId="7" borderId="3" xfId="0" applyFont="1" applyFill="1" applyBorder="1" applyAlignment="1">
      <alignment vertical="center"/>
    </xf>
    <xf numFmtId="0" fontId="11" fillId="0" borderId="0" xfId="0" applyFont="1"/>
    <xf numFmtId="0" fontId="1" fillId="0" borderId="5" xfId="0" applyFont="1" applyBorder="1" applyAlignment="1" applyProtection="1">
      <alignment horizontal="center"/>
      <protection locked="0"/>
    </xf>
    <xf numFmtId="0" fontId="1" fillId="5" borderId="5" xfId="0" applyFont="1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164" fontId="1" fillId="6" borderId="1" xfId="0" applyNumberFormat="1" applyFont="1" applyFill="1" applyBorder="1" applyAlignment="1" applyProtection="1">
      <alignment horizontal="center"/>
      <protection locked="0"/>
    </xf>
    <xf numFmtId="165" fontId="2" fillId="6" borderId="1" xfId="0" applyNumberFormat="1" applyFont="1" applyFill="1" applyBorder="1" applyProtection="1">
      <protection locked="0"/>
    </xf>
    <xf numFmtId="0" fontId="0" fillId="6" borderId="6" xfId="0" applyFill="1" applyBorder="1" applyAlignment="1" applyProtection="1">
      <alignment horizontal="center"/>
      <protection locked="0"/>
    </xf>
    <xf numFmtId="0" fontId="1" fillId="7" borderId="5" xfId="0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164" fontId="1" fillId="8" borderId="1" xfId="0" applyNumberFormat="1" applyFont="1" applyFill="1" applyBorder="1" applyAlignment="1" applyProtection="1">
      <alignment horizontal="center"/>
      <protection locked="0"/>
    </xf>
    <xf numFmtId="165" fontId="2" fillId="8" borderId="1" xfId="0" applyNumberFormat="1" applyFont="1" applyFill="1" applyBorder="1" applyProtection="1">
      <protection locked="0"/>
    </xf>
    <xf numFmtId="0" fontId="0" fillId="8" borderId="6" xfId="0" applyFill="1" applyBorder="1" applyAlignment="1" applyProtection="1">
      <alignment horizontal="center"/>
      <protection locked="0"/>
    </xf>
    <xf numFmtId="0" fontId="1" fillId="0" borderId="7" xfId="0" applyFont="1" applyBorder="1" applyAlignment="1" applyProtection="1">
      <alignment horizontal="center"/>
      <protection locked="0"/>
    </xf>
    <xf numFmtId="0" fontId="1" fillId="5" borderId="7" xfId="0" applyFont="1" applyFill="1" applyBorder="1" applyProtection="1">
      <protection locked="0"/>
    </xf>
    <xf numFmtId="0" fontId="1" fillId="5" borderId="8" xfId="0" applyFont="1" applyFill="1" applyBorder="1" applyProtection="1">
      <protection locked="0"/>
    </xf>
    <xf numFmtId="164" fontId="1" fillId="6" borderId="8" xfId="0" applyNumberFormat="1" applyFont="1" applyFill="1" applyBorder="1" applyAlignment="1" applyProtection="1">
      <alignment horizontal="center"/>
      <protection locked="0"/>
    </xf>
    <xf numFmtId="165" fontId="2" fillId="6" borderId="8" xfId="0" applyNumberFormat="1" applyFont="1" applyFill="1" applyBorder="1" applyProtection="1">
      <protection locked="0"/>
    </xf>
    <xf numFmtId="0" fontId="0" fillId="6" borderId="9" xfId="0" applyFill="1" applyBorder="1" applyAlignment="1" applyProtection="1">
      <alignment horizontal="center"/>
      <protection locked="0"/>
    </xf>
    <xf numFmtId="0" fontId="1" fillId="7" borderId="7" xfId="0" applyFont="1" applyFill="1" applyBorder="1" applyProtection="1">
      <protection locked="0"/>
    </xf>
    <xf numFmtId="0" fontId="1" fillId="7" borderId="8" xfId="0" applyFont="1" applyFill="1" applyBorder="1" applyProtection="1">
      <protection locked="0"/>
    </xf>
    <xf numFmtId="164" fontId="1" fillId="8" borderId="8" xfId="0" applyNumberFormat="1" applyFont="1" applyFill="1" applyBorder="1" applyAlignment="1" applyProtection="1">
      <alignment horizontal="center"/>
      <protection locked="0"/>
    </xf>
    <xf numFmtId="0" fontId="0" fillId="8" borderId="9" xfId="0" applyFill="1" applyBorder="1" applyAlignment="1" applyProtection="1">
      <alignment horizontal="center"/>
      <protection locked="0"/>
    </xf>
    <xf numFmtId="0" fontId="1" fillId="2" borderId="13" xfId="0" applyFont="1" applyFill="1" applyBorder="1" applyProtection="1"/>
    <xf numFmtId="0" fontId="6" fillId="5" borderId="2" xfId="0" applyFont="1" applyFill="1" applyBorder="1" applyAlignment="1">
      <alignment horizontal="centerContinuous" vertical="center"/>
    </xf>
    <xf numFmtId="0" fontId="6" fillId="5" borderId="3" xfId="0" applyFont="1" applyFill="1" applyBorder="1" applyAlignment="1">
      <alignment horizontal="centerContinuous" vertical="center"/>
    </xf>
    <xf numFmtId="0" fontId="6" fillId="5" borderId="4" xfId="0" applyFont="1" applyFill="1" applyBorder="1" applyAlignment="1">
      <alignment horizontal="centerContinuous" vertical="center"/>
    </xf>
    <xf numFmtId="0" fontId="6" fillId="7" borderId="2" xfId="0" applyFont="1" applyFill="1" applyBorder="1" applyAlignment="1">
      <alignment horizontal="centerContinuous" vertical="center"/>
    </xf>
    <xf numFmtId="0" fontId="6" fillId="7" borderId="3" xfId="0" applyFont="1" applyFill="1" applyBorder="1" applyAlignment="1">
      <alignment horizontal="centerContinuous" vertical="center"/>
    </xf>
    <xf numFmtId="0" fontId="6" fillId="7" borderId="4" xfId="0" applyFont="1" applyFill="1" applyBorder="1" applyAlignment="1">
      <alignment horizontal="centerContinuous" vertical="center"/>
    </xf>
    <xf numFmtId="0" fontId="1" fillId="2" borderId="14" xfId="0" applyFont="1" applyFill="1" applyBorder="1" applyProtection="1"/>
    <xf numFmtId="165" fontId="2" fillId="8" borderId="8" xfId="0" applyNumberFormat="1" applyFont="1" applyFill="1" applyBorder="1" applyProtection="1">
      <protection locked="0"/>
    </xf>
    <xf numFmtId="0" fontId="12" fillId="0" borderId="2" xfId="0" applyFont="1" applyBorder="1" applyAlignment="1">
      <alignment horizontal="centerContinuous" vertical="center"/>
    </xf>
    <xf numFmtId="0" fontId="0" fillId="0" borderId="4" xfId="0" applyBorder="1" applyAlignment="1">
      <alignment horizontal="centerContinuous" vertical="center"/>
    </xf>
    <xf numFmtId="0" fontId="4" fillId="0" borderId="19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 wrapText="1"/>
    </xf>
    <xf numFmtId="0" fontId="1" fillId="0" borderId="20" xfId="0" applyFont="1" applyBorder="1" applyAlignment="1" applyProtection="1">
      <alignment horizontal="center"/>
      <protection locked="0"/>
    </xf>
    <xf numFmtId="0" fontId="1" fillId="0" borderId="6" xfId="0" applyFont="1" applyBorder="1" applyAlignment="1" applyProtection="1">
      <alignment horizontal="left"/>
      <protection locked="0"/>
    </xf>
    <xf numFmtId="0" fontId="1" fillId="0" borderId="21" xfId="0" applyFont="1" applyBorder="1" applyAlignment="1" applyProtection="1">
      <alignment horizontal="center"/>
      <protection locked="0"/>
    </xf>
    <xf numFmtId="0" fontId="1" fillId="0" borderId="9" xfId="0" applyFont="1" applyBorder="1" applyAlignment="1" applyProtection="1">
      <alignment horizontal="left"/>
      <protection locked="0"/>
    </xf>
    <xf numFmtId="0" fontId="5" fillId="0" borderId="0" xfId="0" applyFont="1" applyAlignment="1">
      <alignment horizontal="center" wrapText="1"/>
    </xf>
    <xf numFmtId="0" fontId="8" fillId="0" borderId="0" xfId="0" applyFont="1" applyAlignment="1">
      <alignment wrapText="1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vertical="top" wrapText="1"/>
    </xf>
    <xf numFmtId="0" fontId="13" fillId="0" borderId="15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left" wrapText="1"/>
    </xf>
    <xf numFmtId="0" fontId="4" fillId="0" borderId="16" xfId="0" applyFont="1" applyBorder="1" applyAlignment="1">
      <alignment horizontal="center" vertical="center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94006-153A-4365-A52B-88C6CB39E4A1}">
  <dimension ref="A2:I47"/>
  <sheetViews>
    <sheetView showGridLines="0" workbookViewId="0">
      <selection activeCell="B25" sqref="B25"/>
    </sheetView>
  </sheetViews>
  <sheetFormatPr baseColWidth="10" defaultRowHeight="12.75" x14ac:dyDescent="0.2"/>
  <cols>
    <col min="1" max="1" width="7.140625" customWidth="1"/>
    <col min="2" max="2" width="125.28515625" customWidth="1"/>
  </cols>
  <sheetData>
    <row r="2" spans="1:5" ht="26.25" x14ac:dyDescent="0.4">
      <c r="A2" s="73" t="s">
        <v>16</v>
      </c>
      <c r="B2" s="73"/>
      <c r="C2" s="6"/>
      <c r="D2" s="6"/>
      <c r="E2" s="6"/>
    </row>
    <row r="4" spans="1:5" ht="15" customHeight="1" x14ac:dyDescent="0.2">
      <c r="A4" s="74" t="s">
        <v>6</v>
      </c>
      <c r="B4" s="74"/>
    </row>
    <row r="5" spans="1:5" ht="15" x14ac:dyDescent="0.2">
      <c r="A5" s="69"/>
      <c r="B5" s="69"/>
    </row>
    <row r="6" spans="1:5" ht="15" customHeight="1" x14ac:dyDescent="0.2">
      <c r="A6" s="75" t="s">
        <v>62</v>
      </c>
      <c r="B6" s="75"/>
    </row>
    <row r="7" spans="1:5" ht="15" customHeight="1" x14ac:dyDescent="0.2">
      <c r="A7" s="74" t="s">
        <v>63</v>
      </c>
      <c r="B7" s="74"/>
    </row>
    <row r="8" spans="1:5" ht="15" x14ac:dyDescent="0.2">
      <c r="A8" s="69"/>
      <c r="B8" s="69"/>
    </row>
    <row r="9" spans="1:5" ht="15.75" x14ac:dyDescent="0.25">
      <c r="A9" s="66" t="s">
        <v>7</v>
      </c>
      <c r="B9" s="69" t="s">
        <v>64</v>
      </c>
    </row>
    <row r="10" spans="1:5" ht="15" x14ac:dyDescent="0.2">
      <c r="A10" s="66"/>
      <c r="B10" s="67" t="s">
        <v>65</v>
      </c>
    </row>
    <row r="11" spans="1:5" ht="15" x14ac:dyDescent="0.2">
      <c r="A11" s="66"/>
      <c r="B11" s="69"/>
    </row>
    <row r="12" spans="1:5" ht="30" x14ac:dyDescent="0.2">
      <c r="A12" s="68" t="s">
        <v>8</v>
      </c>
      <c r="B12" s="69" t="s">
        <v>66</v>
      </c>
    </row>
    <row r="13" spans="1:5" ht="15" x14ac:dyDescent="0.2">
      <c r="A13" s="66"/>
      <c r="B13" s="69"/>
    </row>
    <row r="14" spans="1:5" ht="15" x14ac:dyDescent="0.2">
      <c r="A14" s="68" t="s">
        <v>9</v>
      </c>
      <c r="B14" s="70" t="s">
        <v>68</v>
      </c>
    </row>
    <row r="15" spans="1:5" ht="16.5" customHeight="1" x14ac:dyDescent="0.2">
      <c r="A15" s="68"/>
      <c r="B15" s="70" t="s">
        <v>69</v>
      </c>
    </row>
    <row r="16" spans="1:5" ht="15" x14ac:dyDescent="0.2">
      <c r="A16" s="66"/>
      <c r="B16" s="69"/>
    </row>
    <row r="17" spans="1:9" ht="30.75" x14ac:dyDescent="0.2">
      <c r="A17" s="68" t="s">
        <v>10</v>
      </c>
      <c r="B17" s="69" t="s">
        <v>70</v>
      </c>
    </row>
    <row r="18" spans="1:9" ht="15" x14ac:dyDescent="0.2">
      <c r="A18" s="66"/>
      <c r="B18" s="69"/>
    </row>
    <row r="19" spans="1:9" ht="60.75" x14ac:dyDescent="0.2">
      <c r="A19" s="68" t="s">
        <v>11</v>
      </c>
      <c r="B19" s="69" t="s">
        <v>67</v>
      </c>
    </row>
    <row r="20" spans="1:9" ht="15" x14ac:dyDescent="0.2">
      <c r="A20" s="66"/>
      <c r="B20" s="69"/>
      <c r="C20" s="5"/>
      <c r="D20" s="5"/>
      <c r="E20" s="5"/>
      <c r="F20" s="5"/>
      <c r="G20" s="5"/>
      <c r="H20" s="5"/>
      <c r="I20" s="5"/>
    </row>
    <row r="21" spans="1:9" ht="30.75" x14ac:dyDescent="0.25">
      <c r="A21" s="68" t="s">
        <v>12</v>
      </c>
      <c r="B21" s="69" t="s">
        <v>14</v>
      </c>
      <c r="C21" s="5"/>
      <c r="D21" s="5"/>
      <c r="E21" s="5"/>
      <c r="F21" s="5"/>
      <c r="G21" s="5"/>
      <c r="H21" s="5"/>
      <c r="I21" s="5"/>
    </row>
    <row r="22" spans="1:9" ht="15" x14ac:dyDescent="0.2">
      <c r="A22" s="69"/>
      <c r="B22" s="69"/>
      <c r="C22" s="5"/>
      <c r="D22" s="5"/>
      <c r="E22" s="5"/>
      <c r="F22" s="5"/>
      <c r="G22" s="5"/>
      <c r="H22" s="5"/>
      <c r="I22" s="5"/>
    </row>
    <row r="23" spans="1:9" ht="15" x14ac:dyDescent="0.2">
      <c r="A23" s="66" t="s">
        <v>13</v>
      </c>
      <c r="B23" s="69" t="s">
        <v>15</v>
      </c>
      <c r="C23" s="5"/>
      <c r="D23" s="5"/>
      <c r="E23" s="5"/>
      <c r="F23" s="5"/>
      <c r="G23" s="5"/>
      <c r="H23" s="5"/>
      <c r="I23" s="5"/>
    </row>
    <row r="24" spans="1:9" ht="15" x14ac:dyDescent="0.2">
      <c r="A24" s="5"/>
      <c r="B24" s="5"/>
      <c r="C24" s="5"/>
      <c r="D24" s="5"/>
      <c r="E24" s="5"/>
      <c r="F24" s="5"/>
      <c r="G24" s="5"/>
      <c r="H24" s="5"/>
      <c r="I24" s="5"/>
    </row>
    <row r="25" spans="1:9" ht="15" x14ac:dyDescent="0.2">
      <c r="A25" s="5"/>
      <c r="B25" s="5"/>
      <c r="C25" s="5"/>
      <c r="D25" s="5"/>
      <c r="E25" s="5"/>
      <c r="F25" s="5"/>
      <c r="G25" s="5"/>
      <c r="H25" s="5"/>
      <c r="I25" s="5"/>
    </row>
    <row r="26" spans="1:9" ht="15" x14ac:dyDescent="0.2">
      <c r="A26" s="5"/>
      <c r="B26" s="5"/>
      <c r="C26" s="5"/>
      <c r="D26" s="5"/>
      <c r="E26" s="5"/>
      <c r="F26" s="5"/>
      <c r="G26" s="5"/>
      <c r="H26" s="5"/>
      <c r="I26" s="5"/>
    </row>
    <row r="27" spans="1:9" ht="15" x14ac:dyDescent="0.2">
      <c r="A27" s="5"/>
      <c r="B27" s="5"/>
      <c r="C27" s="5"/>
      <c r="D27" s="5"/>
      <c r="E27" s="5"/>
      <c r="F27" s="5"/>
      <c r="G27" s="5"/>
      <c r="H27" s="5"/>
      <c r="I27" s="5"/>
    </row>
    <row r="28" spans="1:9" ht="15" x14ac:dyDescent="0.2">
      <c r="A28" s="5"/>
      <c r="B28" s="5"/>
      <c r="C28" s="5"/>
      <c r="D28" s="5"/>
      <c r="E28" s="5"/>
      <c r="F28" s="5"/>
      <c r="G28" s="5"/>
      <c r="H28" s="5"/>
      <c r="I28" s="5"/>
    </row>
    <row r="29" spans="1:9" ht="15" x14ac:dyDescent="0.2">
      <c r="A29" s="5"/>
      <c r="B29" s="5"/>
      <c r="C29" s="5"/>
      <c r="D29" s="5"/>
      <c r="E29" s="5"/>
      <c r="F29" s="5"/>
      <c r="G29" s="5"/>
      <c r="H29" s="5"/>
      <c r="I29" s="5"/>
    </row>
    <row r="30" spans="1:9" ht="15" x14ac:dyDescent="0.2">
      <c r="A30" s="5"/>
      <c r="B30" s="5"/>
      <c r="C30" s="5"/>
      <c r="D30" s="5"/>
      <c r="E30" s="5"/>
      <c r="F30" s="5"/>
      <c r="G30" s="5"/>
      <c r="H30" s="5"/>
      <c r="I30" s="5"/>
    </row>
    <row r="31" spans="1:9" ht="15" x14ac:dyDescent="0.2">
      <c r="A31" s="5"/>
      <c r="B31" s="5"/>
      <c r="C31" s="5"/>
      <c r="D31" s="5"/>
      <c r="E31" s="5"/>
      <c r="F31" s="5"/>
      <c r="G31" s="5"/>
      <c r="H31" s="5"/>
      <c r="I31" s="5"/>
    </row>
    <row r="32" spans="1:9" ht="15" x14ac:dyDescent="0.2">
      <c r="A32" s="5"/>
      <c r="B32" s="5"/>
      <c r="C32" s="5"/>
      <c r="D32" s="5"/>
      <c r="E32" s="5"/>
      <c r="F32" s="5"/>
      <c r="G32" s="5"/>
      <c r="H32" s="5"/>
      <c r="I32" s="5"/>
    </row>
    <row r="33" spans="1:9" ht="15" x14ac:dyDescent="0.2">
      <c r="A33" s="5"/>
      <c r="B33" s="5"/>
      <c r="C33" s="5"/>
      <c r="D33" s="5"/>
      <c r="E33" s="5"/>
      <c r="F33" s="5"/>
      <c r="G33" s="5"/>
      <c r="H33" s="5"/>
      <c r="I33" s="5"/>
    </row>
    <row r="34" spans="1:9" ht="15" x14ac:dyDescent="0.2">
      <c r="A34" s="5"/>
      <c r="B34" s="5"/>
      <c r="C34" s="5"/>
      <c r="D34" s="5"/>
      <c r="E34" s="5"/>
      <c r="F34" s="5"/>
      <c r="G34" s="5"/>
      <c r="H34" s="5"/>
      <c r="I34" s="5"/>
    </row>
    <row r="35" spans="1:9" ht="15" x14ac:dyDescent="0.2">
      <c r="A35" s="5"/>
      <c r="B35" s="5"/>
      <c r="C35" s="5"/>
      <c r="D35" s="5"/>
      <c r="E35" s="5"/>
      <c r="F35" s="5"/>
      <c r="G35" s="5"/>
      <c r="H35" s="5"/>
      <c r="I35" s="5"/>
    </row>
    <row r="36" spans="1:9" ht="15" x14ac:dyDescent="0.2">
      <c r="A36" s="5"/>
      <c r="B36" s="5"/>
      <c r="C36" s="5"/>
      <c r="D36" s="5"/>
      <c r="E36" s="5"/>
      <c r="F36" s="5"/>
      <c r="G36" s="5"/>
      <c r="H36" s="5"/>
      <c r="I36" s="5"/>
    </row>
    <row r="37" spans="1:9" ht="15" x14ac:dyDescent="0.2">
      <c r="A37" s="5"/>
      <c r="B37" s="5"/>
      <c r="C37" s="5"/>
      <c r="D37" s="5"/>
      <c r="E37" s="5"/>
      <c r="F37" s="5"/>
      <c r="G37" s="5"/>
      <c r="H37" s="5"/>
      <c r="I37" s="5"/>
    </row>
    <row r="38" spans="1:9" ht="15" x14ac:dyDescent="0.2">
      <c r="A38" s="5"/>
      <c r="B38" s="5"/>
      <c r="C38" s="5"/>
      <c r="D38" s="5"/>
      <c r="E38" s="5"/>
      <c r="F38" s="5"/>
      <c r="G38" s="5"/>
      <c r="H38" s="5"/>
      <c r="I38" s="5"/>
    </row>
    <row r="39" spans="1:9" ht="15" x14ac:dyDescent="0.2">
      <c r="A39" s="5"/>
      <c r="B39" s="5"/>
      <c r="C39" s="5"/>
      <c r="D39" s="5"/>
      <c r="E39" s="5"/>
      <c r="F39" s="5"/>
      <c r="G39" s="5"/>
      <c r="H39" s="5"/>
      <c r="I39" s="5"/>
    </row>
    <row r="40" spans="1:9" ht="15" x14ac:dyDescent="0.2">
      <c r="A40" s="5"/>
      <c r="B40" s="5"/>
      <c r="C40" s="5"/>
      <c r="D40" s="5"/>
      <c r="E40" s="5"/>
      <c r="F40" s="5"/>
      <c r="G40" s="5"/>
      <c r="H40" s="5"/>
      <c r="I40" s="5"/>
    </row>
    <row r="41" spans="1:9" ht="15" x14ac:dyDescent="0.2">
      <c r="A41" s="5"/>
      <c r="B41" s="5"/>
      <c r="C41" s="5"/>
      <c r="D41" s="5"/>
      <c r="E41" s="5"/>
      <c r="F41" s="5"/>
      <c r="G41" s="5"/>
      <c r="H41" s="5"/>
      <c r="I41" s="5"/>
    </row>
    <row r="42" spans="1:9" ht="15" x14ac:dyDescent="0.2">
      <c r="A42" s="5"/>
      <c r="B42" s="5"/>
      <c r="C42" s="5"/>
      <c r="D42" s="5"/>
      <c r="E42" s="5"/>
      <c r="F42" s="5"/>
      <c r="G42" s="5"/>
      <c r="H42" s="5"/>
      <c r="I42" s="5"/>
    </row>
    <row r="43" spans="1:9" ht="15" x14ac:dyDescent="0.2">
      <c r="A43" s="5"/>
      <c r="B43" s="5"/>
      <c r="C43" s="5"/>
      <c r="D43" s="5"/>
      <c r="E43" s="5"/>
      <c r="F43" s="5"/>
      <c r="G43" s="5"/>
      <c r="H43" s="5"/>
      <c r="I43" s="5"/>
    </row>
    <row r="44" spans="1:9" ht="15" x14ac:dyDescent="0.2">
      <c r="A44" s="5"/>
      <c r="B44" s="5"/>
      <c r="C44" s="5"/>
      <c r="D44" s="5"/>
      <c r="E44" s="5"/>
      <c r="F44" s="5"/>
      <c r="G44" s="5"/>
      <c r="H44" s="5"/>
      <c r="I44" s="5"/>
    </row>
    <row r="45" spans="1:9" ht="15" x14ac:dyDescent="0.2">
      <c r="A45" s="5"/>
      <c r="B45" s="5"/>
      <c r="C45" s="5"/>
      <c r="D45" s="5"/>
      <c r="E45" s="5"/>
      <c r="F45" s="5"/>
      <c r="G45" s="5"/>
      <c r="H45" s="5"/>
      <c r="I45" s="5"/>
    </row>
    <row r="46" spans="1:9" ht="15" x14ac:dyDescent="0.2">
      <c r="A46" s="5"/>
      <c r="B46" s="5"/>
      <c r="C46" s="5"/>
      <c r="D46" s="5"/>
      <c r="E46" s="5"/>
      <c r="F46" s="5"/>
      <c r="G46" s="5"/>
      <c r="H46" s="5"/>
      <c r="I46" s="5"/>
    </row>
    <row r="47" spans="1:9" ht="15" x14ac:dyDescent="0.2">
      <c r="A47" s="5"/>
      <c r="B47" s="5"/>
      <c r="C47" s="5"/>
      <c r="D47" s="5"/>
      <c r="E47" s="5"/>
      <c r="F47" s="5"/>
      <c r="G47" s="5"/>
      <c r="H47" s="5"/>
      <c r="I47" s="5"/>
    </row>
  </sheetData>
  <mergeCells count="4">
    <mergeCell ref="A2:B2"/>
    <mergeCell ref="A4:B4"/>
    <mergeCell ref="A6:B6"/>
    <mergeCell ref="A7:B7"/>
  </mergeCells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00CFD-9BF2-47B5-97A1-894F66DC616A}">
  <sheetPr codeName="Feuil1">
    <outlinePr summaryBelow="0" summaryRight="0"/>
  </sheetPr>
  <dimension ref="A1:N102"/>
  <sheetViews>
    <sheetView tabSelected="1" zoomScale="110" zoomScaleNormal="110" workbookViewId="0">
      <selection activeCell="A3" sqref="A3"/>
    </sheetView>
  </sheetViews>
  <sheetFormatPr baseColWidth="10" defaultColWidth="14.42578125" defaultRowHeight="15" customHeight="1" x14ac:dyDescent="0.2"/>
  <cols>
    <col min="1" max="1" width="9.42578125" style="1" customWidth="1"/>
    <col min="2" max="2" width="28.42578125" customWidth="1"/>
    <col min="3" max="3" width="28.140625" customWidth="1"/>
    <col min="4" max="4" width="20.42578125" customWidth="1"/>
    <col min="5" max="5" width="13" customWidth="1"/>
    <col min="6" max="6" width="7.140625" style="1" bestFit="1" customWidth="1"/>
    <col min="7" max="7" width="10.28515625" style="1" customWidth="1"/>
    <col min="8" max="8" width="28.140625" style="1" customWidth="1"/>
    <col min="9" max="9" width="20.42578125" style="1" customWidth="1"/>
    <col min="10" max="10" width="13" style="1" customWidth="1"/>
    <col min="11" max="11" width="7.140625" style="1" bestFit="1" customWidth="1"/>
    <col min="12" max="12" width="10.140625" style="1" customWidth="1"/>
    <col min="13" max="13" width="6.140625" style="1" customWidth="1"/>
    <col min="14" max="14" width="35" style="1" customWidth="1"/>
  </cols>
  <sheetData>
    <row r="1" spans="1:14" s="4" customFormat="1" ht="21.75" customHeight="1" thickBot="1" x14ac:dyDescent="0.25">
      <c r="A1" s="3"/>
      <c r="C1" s="50" t="s">
        <v>5</v>
      </c>
      <c r="D1" s="51"/>
      <c r="E1" s="51"/>
      <c r="F1" s="51"/>
      <c r="G1" s="52"/>
      <c r="H1" s="53" t="s">
        <v>41</v>
      </c>
      <c r="I1" s="54"/>
      <c r="J1" s="54"/>
      <c r="K1" s="54"/>
      <c r="L1" s="55"/>
      <c r="M1" s="58" t="s">
        <v>61</v>
      </c>
      <c r="N1" s="59"/>
    </row>
    <row r="2" spans="1:14" s="2" customFormat="1" ht="30.75" thickBot="1" x14ac:dyDescent="0.25">
      <c r="A2" s="71" t="s">
        <v>4</v>
      </c>
      <c r="B2" s="72" t="s">
        <v>1</v>
      </c>
      <c r="C2" s="13" t="s">
        <v>40</v>
      </c>
      <c r="D2" s="14" t="s">
        <v>39</v>
      </c>
      <c r="E2" s="15" t="s">
        <v>3</v>
      </c>
      <c r="F2" s="14" t="s">
        <v>42</v>
      </c>
      <c r="G2" s="16" t="s">
        <v>2</v>
      </c>
      <c r="H2" s="19" t="s">
        <v>40</v>
      </c>
      <c r="I2" s="20" t="s">
        <v>39</v>
      </c>
      <c r="J2" s="21" t="s">
        <v>3</v>
      </c>
      <c r="K2" s="20" t="s">
        <v>42</v>
      </c>
      <c r="L2" s="22" t="s">
        <v>2</v>
      </c>
      <c r="M2" s="60" t="s">
        <v>45</v>
      </c>
      <c r="N2" s="61" t="s">
        <v>46</v>
      </c>
    </row>
    <row r="3" spans="1:14" ht="13.5" thickTop="1" x14ac:dyDescent="0.2">
      <c r="A3" s="28"/>
      <c r="B3" s="49" t="str">
        <f>Scrutateur!E3</f>
        <v/>
      </c>
      <c r="C3" s="29"/>
      <c r="D3" s="30"/>
      <c r="E3" s="31"/>
      <c r="F3" s="32"/>
      <c r="G3" s="33"/>
      <c r="H3" s="34"/>
      <c r="I3" s="35"/>
      <c r="J3" s="36"/>
      <c r="K3" s="37"/>
      <c r="L3" s="38"/>
      <c r="M3" s="62"/>
      <c r="N3" s="63"/>
    </row>
    <row r="4" spans="1:14" ht="12.75" x14ac:dyDescent="0.2">
      <c r="A4" s="28"/>
      <c r="B4" s="49" t="str">
        <f>Scrutateur!E4</f>
        <v/>
      </c>
      <c r="C4" s="29"/>
      <c r="D4" s="30"/>
      <c r="E4" s="31"/>
      <c r="F4" s="32"/>
      <c r="G4" s="33"/>
      <c r="H4" s="34"/>
      <c r="I4" s="35"/>
      <c r="J4" s="36"/>
      <c r="K4" s="37"/>
      <c r="L4" s="38"/>
      <c r="M4" s="62"/>
      <c r="N4" s="63"/>
    </row>
    <row r="5" spans="1:14" ht="12.75" x14ac:dyDescent="0.2">
      <c r="A5" s="28"/>
      <c r="B5" s="49" t="str">
        <f>Scrutateur!E5</f>
        <v/>
      </c>
      <c r="C5" s="29"/>
      <c r="D5" s="30"/>
      <c r="E5" s="31"/>
      <c r="F5" s="32"/>
      <c r="G5" s="33"/>
      <c r="H5" s="34"/>
      <c r="I5" s="35"/>
      <c r="J5" s="36"/>
      <c r="K5" s="37"/>
      <c r="L5" s="38"/>
      <c r="M5" s="62"/>
      <c r="N5" s="63"/>
    </row>
    <row r="6" spans="1:14" ht="12.75" x14ac:dyDescent="0.2">
      <c r="A6" s="28"/>
      <c r="B6" s="49" t="str">
        <f>Scrutateur!E6</f>
        <v/>
      </c>
      <c r="C6" s="29"/>
      <c r="D6" s="30"/>
      <c r="E6" s="31"/>
      <c r="F6" s="32"/>
      <c r="G6" s="33"/>
      <c r="H6" s="34"/>
      <c r="I6" s="35"/>
      <c r="J6" s="36"/>
      <c r="K6" s="37"/>
      <c r="L6" s="38"/>
      <c r="M6" s="62"/>
      <c r="N6" s="63"/>
    </row>
    <row r="7" spans="1:14" ht="12.75" x14ac:dyDescent="0.2">
      <c r="A7" s="28"/>
      <c r="B7" s="49" t="str">
        <f>Scrutateur!E7</f>
        <v/>
      </c>
      <c r="C7" s="29"/>
      <c r="D7" s="30"/>
      <c r="E7" s="31"/>
      <c r="F7" s="32"/>
      <c r="G7" s="33"/>
      <c r="H7" s="34"/>
      <c r="I7" s="35"/>
      <c r="J7" s="36"/>
      <c r="K7" s="37"/>
      <c r="L7" s="38"/>
      <c r="M7" s="62"/>
      <c r="N7" s="63"/>
    </row>
    <row r="8" spans="1:14" ht="12.75" x14ac:dyDescent="0.2">
      <c r="A8" s="28"/>
      <c r="B8" s="49" t="str">
        <f>Scrutateur!E8</f>
        <v/>
      </c>
      <c r="C8" s="29"/>
      <c r="D8" s="30"/>
      <c r="E8" s="31"/>
      <c r="F8" s="32"/>
      <c r="G8" s="33"/>
      <c r="H8" s="34"/>
      <c r="I8" s="35"/>
      <c r="J8" s="36"/>
      <c r="K8" s="37"/>
      <c r="L8" s="38"/>
      <c r="M8" s="62"/>
      <c r="N8" s="63"/>
    </row>
    <row r="9" spans="1:14" ht="12.75" x14ac:dyDescent="0.2">
      <c r="A9" s="28"/>
      <c r="B9" s="49" t="str">
        <f>Scrutateur!E9</f>
        <v/>
      </c>
      <c r="C9" s="29"/>
      <c r="D9" s="30"/>
      <c r="E9" s="31"/>
      <c r="F9" s="32"/>
      <c r="G9" s="33"/>
      <c r="H9" s="34"/>
      <c r="I9" s="35"/>
      <c r="J9" s="36"/>
      <c r="K9" s="37"/>
      <c r="L9" s="38"/>
      <c r="M9" s="62"/>
      <c r="N9" s="63"/>
    </row>
    <row r="10" spans="1:14" ht="12.75" x14ac:dyDescent="0.2">
      <c r="A10" s="28"/>
      <c r="B10" s="49" t="str">
        <f>Scrutateur!E10</f>
        <v/>
      </c>
      <c r="C10" s="29"/>
      <c r="D10" s="30"/>
      <c r="E10" s="31"/>
      <c r="F10" s="32"/>
      <c r="G10" s="33"/>
      <c r="H10" s="34"/>
      <c r="I10" s="35"/>
      <c r="J10" s="36"/>
      <c r="K10" s="37"/>
      <c r="L10" s="38"/>
      <c r="M10" s="62"/>
      <c r="N10" s="63"/>
    </row>
    <row r="11" spans="1:14" ht="12.75" x14ac:dyDescent="0.2">
      <c r="A11" s="28"/>
      <c r="B11" s="49" t="str">
        <f>Scrutateur!E11</f>
        <v/>
      </c>
      <c r="C11" s="29"/>
      <c r="D11" s="30"/>
      <c r="E11" s="31"/>
      <c r="F11" s="32"/>
      <c r="G11" s="33"/>
      <c r="H11" s="34"/>
      <c r="I11" s="35"/>
      <c r="J11" s="36"/>
      <c r="K11" s="37"/>
      <c r="L11" s="38"/>
      <c r="M11" s="62"/>
      <c r="N11" s="63"/>
    </row>
    <row r="12" spans="1:14" ht="12.75" x14ac:dyDescent="0.2">
      <c r="A12" s="28"/>
      <c r="B12" s="49" t="str">
        <f>Scrutateur!E12</f>
        <v/>
      </c>
      <c r="C12" s="29"/>
      <c r="D12" s="30"/>
      <c r="E12" s="31"/>
      <c r="F12" s="32"/>
      <c r="G12" s="33"/>
      <c r="H12" s="34"/>
      <c r="I12" s="35"/>
      <c r="J12" s="36"/>
      <c r="K12" s="37"/>
      <c r="L12" s="38"/>
      <c r="M12" s="62"/>
      <c r="N12" s="63"/>
    </row>
    <row r="13" spans="1:14" ht="12.75" x14ac:dyDescent="0.2">
      <c r="A13" s="28"/>
      <c r="B13" s="49" t="str">
        <f>Scrutateur!E13</f>
        <v/>
      </c>
      <c r="C13" s="29"/>
      <c r="D13" s="30"/>
      <c r="E13" s="31"/>
      <c r="F13" s="32"/>
      <c r="G13" s="33"/>
      <c r="H13" s="34"/>
      <c r="I13" s="35"/>
      <c r="J13" s="36"/>
      <c r="K13" s="37"/>
      <c r="L13" s="38"/>
      <c r="M13" s="62"/>
      <c r="N13" s="63"/>
    </row>
    <row r="14" spans="1:14" ht="12.75" x14ac:dyDescent="0.2">
      <c r="A14" s="28"/>
      <c r="B14" s="49" t="str">
        <f>Scrutateur!E14</f>
        <v/>
      </c>
      <c r="C14" s="29"/>
      <c r="D14" s="30"/>
      <c r="E14" s="31"/>
      <c r="F14" s="32"/>
      <c r="G14" s="33"/>
      <c r="H14" s="34"/>
      <c r="I14" s="35"/>
      <c r="J14" s="36"/>
      <c r="K14" s="37"/>
      <c r="L14" s="38"/>
      <c r="M14" s="62"/>
      <c r="N14" s="63"/>
    </row>
    <row r="15" spans="1:14" ht="12.75" x14ac:dyDescent="0.2">
      <c r="A15" s="28"/>
      <c r="B15" s="49" t="str">
        <f>Scrutateur!E15</f>
        <v/>
      </c>
      <c r="C15" s="29"/>
      <c r="D15" s="30"/>
      <c r="E15" s="31"/>
      <c r="F15" s="32"/>
      <c r="G15" s="33"/>
      <c r="H15" s="34"/>
      <c r="I15" s="35"/>
      <c r="J15" s="36"/>
      <c r="K15" s="37"/>
      <c r="L15" s="38"/>
      <c r="M15" s="62"/>
      <c r="N15" s="63"/>
    </row>
    <row r="16" spans="1:14" ht="12.75" x14ac:dyDescent="0.2">
      <c r="A16" s="28"/>
      <c r="B16" s="49" t="str">
        <f>Scrutateur!E16</f>
        <v/>
      </c>
      <c r="C16" s="29"/>
      <c r="D16" s="30"/>
      <c r="E16" s="31"/>
      <c r="F16" s="32"/>
      <c r="G16" s="33"/>
      <c r="H16" s="34"/>
      <c r="I16" s="35"/>
      <c r="J16" s="36"/>
      <c r="K16" s="37"/>
      <c r="L16" s="38"/>
      <c r="M16" s="62"/>
      <c r="N16" s="63"/>
    </row>
    <row r="17" spans="1:14" ht="12.75" x14ac:dyDescent="0.2">
      <c r="A17" s="28"/>
      <c r="B17" s="49" t="str">
        <f>Scrutateur!E17</f>
        <v/>
      </c>
      <c r="C17" s="29"/>
      <c r="D17" s="30"/>
      <c r="E17" s="31"/>
      <c r="F17" s="32"/>
      <c r="G17" s="33"/>
      <c r="H17" s="34"/>
      <c r="I17" s="35"/>
      <c r="J17" s="36"/>
      <c r="K17" s="37"/>
      <c r="L17" s="38"/>
      <c r="M17" s="62"/>
      <c r="N17" s="63"/>
    </row>
    <row r="18" spans="1:14" ht="12.75" x14ac:dyDescent="0.2">
      <c r="A18" s="28"/>
      <c r="B18" s="49" t="str">
        <f>Scrutateur!E18</f>
        <v/>
      </c>
      <c r="C18" s="29"/>
      <c r="D18" s="30"/>
      <c r="E18" s="31"/>
      <c r="F18" s="32"/>
      <c r="G18" s="33"/>
      <c r="H18" s="34"/>
      <c r="I18" s="35"/>
      <c r="J18" s="36"/>
      <c r="K18" s="37"/>
      <c r="L18" s="38"/>
      <c r="M18" s="62"/>
      <c r="N18" s="63"/>
    </row>
    <row r="19" spans="1:14" ht="12.75" x14ac:dyDescent="0.2">
      <c r="A19" s="28"/>
      <c r="B19" s="49" t="str">
        <f>Scrutateur!E19</f>
        <v/>
      </c>
      <c r="C19" s="29"/>
      <c r="D19" s="30"/>
      <c r="E19" s="31"/>
      <c r="F19" s="32"/>
      <c r="G19" s="33"/>
      <c r="H19" s="34"/>
      <c r="I19" s="35"/>
      <c r="J19" s="36"/>
      <c r="K19" s="37"/>
      <c r="L19" s="38"/>
      <c r="M19" s="62"/>
      <c r="N19" s="63"/>
    </row>
    <row r="20" spans="1:14" ht="12.75" x14ac:dyDescent="0.2">
      <c r="A20" s="28"/>
      <c r="B20" s="49" t="str">
        <f>Scrutateur!E20</f>
        <v/>
      </c>
      <c r="C20" s="29"/>
      <c r="D20" s="30"/>
      <c r="E20" s="31"/>
      <c r="F20" s="32"/>
      <c r="G20" s="33"/>
      <c r="H20" s="34"/>
      <c r="I20" s="35"/>
      <c r="J20" s="36"/>
      <c r="K20" s="37"/>
      <c r="L20" s="38"/>
      <c r="M20" s="62"/>
      <c r="N20" s="63"/>
    </row>
    <row r="21" spans="1:14" ht="12.75" x14ac:dyDescent="0.2">
      <c r="A21" s="28"/>
      <c r="B21" s="49" t="str">
        <f>Scrutateur!E21</f>
        <v/>
      </c>
      <c r="C21" s="29"/>
      <c r="D21" s="30"/>
      <c r="E21" s="31"/>
      <c r="F21" s="32"/>
      <c r="G21" s="33"/>
      <c r="H21" s="34"/>
      <c r="I21" s="35"/>
      <c r="J21" s="36"/>
      <c r="K21" s="37"/>
      <c r="L21" s="38"/>
      <c r="M21" s="62"/>
      <c r="N21" s="63"/>
    </row>
    <row r="22" spans="1:14" ht="12.75" x14ac:dyDescent="0.2">
      <c r="A22" s="28"/>
      <c r="B22" s="49" t="str">
        <f>Scrutateur!E22</f>
        <v/>
      </c>
      <c r="C22" s="29"/>
      <c r="D22" s="30"/>
      <c r="E22" s="31"/>
      <c r="F22" s="32"/>
      <c r="G22" s="33"/>
      <c r="H22" s="34"/>
      <c r="I22" s="35"/>
      <c r="J22" s="36"/>
      <c r="K22" s="37"/>
      <c r="L22" s="38"/>
      <c r="M22" s="62"/>
      <c r="N22" s="63"/>
    </row>
    <row r="23" spans="1:14" ht="12.75" x14ac:dyDescent="0.2">
      <c r="A23" s="28"/>
      <c r="B23" s="49" t="str">
        <f>Scrutateur!E23</f>
        <v/>
      </c>
      <c r="C23" s="29"/>
      <c r="D23" s="30"/>
      <c r="E23" s="31"/>
      <c r="F23" s="32"/>
      <c r="G23" s="33"/>
      <c r="H23" s="34"/>
      <c r="I23" s="35"/>
      <c r="J23" s="36"/>
      <c r="K23" s="37"/>
      <c r="L23" s="38"/>
      <c r="M23" s="62"/>
      <c r="N23" s="63"/>
    </row>
    <row r="24" spans="1:14" ht="12.75" x14ac:dyDescent="0.2">
      <c r="A24" s="28"/>
      <c r="B24" s="49" t="str">
        <f>Scrutateur!E24</f>
        <v/>
      </c>
      <c r="C24" s="29"/>
      <c r="D24" s="30"/>
      <c r="E24" s="31"/>
      <c r="F24" s="32"/>
      <c r="G24" s="33"/>
      <c r="H24" s="34"/>
      <c r="I24" s="35"/>
      <c r="J24" s="36"/>
      <c r="K24" s="37"/>
      <c r="L24" s="38"/>
      <c r="M24" s="62"/>
      <c r="N24" s="63"/>
    </row>
    <row r="25" spans="1:14" ht="12.75" x14ac:dyDescent="0.2">
      <c r="A25" s="28"/>
      <c r="B25" s="49" t="str">
        <f>Scrutateur!E25</f>
        <v/>
      </c>
      <c r="C25" s="29"/>
      <c r="D25" s="30"/>
      <c r="E25" s="31"/>
      <c r="F25" s="32"/>
      <c r="G25" s="33"/>
      <c r="H25" s="34"/>
      <c r="I25" s="35"/>
      <c r="J25" s="36"/>
      <c r="K25" s="37"/>
      <c r="L25" s="38"/>
      <c r="M25" s="62"/>
      <c r="N25" s="63"/>
    </row>
    <row r="26" spans="1:14" ht="12.75" x14ac:dyDescent="0.2">
      <c r="A26" s="28"/>
      <c r="B26" s="49" t="str">
        <f>Scrutateur!E26</f>
        <v/>
      </c>
      <c r="C26" s="29"/>
      <c r="D26" s="30"/>
      <c r="E26" s="31"/>
      <c r="F26" s="32"/>
      <c r="G26" s="33"/>
      <c r="H26" s="34"/>
      <c r="I26" s="35"/>
      <c r="J26" s="36"/>
      <c r="K26" s="37"/>
      <c r="L26" s="38"/>
      <c r="M26" s="62"/>
      <c r="N26" s="63"/>
    </row>
    <row r="27" spans="1:14" ht="12.75" x14ac:dyDescent="0.2">
      <c r="A27" s="28"/>
      <c r="B27" s="49" t="str">
        <f>Scrutateur!E27</f>
        <v/>
      </c>
      <c r="C27" s="29"/>
      <c r="D27" s="30"/>
      <c r="E27" s="31"/>
      <c r="F27" s="32"/>
      <c r="G27" s="33"/>
      <c r="H27" s="34"/>
      <c r="I27" s="35"/>
      <c r="J27" s="36"/>
      <c r="K27" s="37"/>
      <c r="L27" s="38"/>
      <c r="M27" s="62"/>
      <c r="N27" s="63"/>
    </row>
    <row r="28" spans="1:14" ht="12.75" x14ac:dyDescent="0.2">
      <c r="A28" s="28"/>
      <c r="B28" s="49" t="str">
        <f>Scrutateur!E28</f>
        <v/>
      </c>
      <c r="C28" s="29"/>
      <c r="D28" s="30"/>
      <c r="E28" s="31"/>
      <c r="F28" s="32"/>
      <c r="G28" s="33"/>
      <c r="H28" s="34"/>
      <c r="I28" s="35"/>
      <c r="J28" s="36"/>
      <c r="K28" s="37"/>
      <c r="L28" s="38"/>
      <c r="M28" s="62"/>
      <c r="N28" s="63"/>
    </row>
    <row r="29" spans="1:14" ht="12.75" x14ac:dyDescent="0.2">
      <c r="A29" s="28"/>
      <c r="B29" s="49" t="str">
        <f>Scrutateur!E29</f>
        <v/>
      </c>
      <c r="C29" s="29"/>
      <c r="D29" s="30"/>
      <c r="E29" s="31"/>
      <c r="F29" s="32"/>
      <c r="G29" s="33"/>
      <c r="H29" s="34"/>
      <c r="I29" s="35"/>
      <c r="J29" s="36"/>
      <c r="K29" s="37"/>
      <c r="L29" s="38"/>
      <c r="M29" s="62"/>
      <c r="N29" s="63"/>
    </row>
    <row r="30" spans="1:14" ht="12.75" x14ac:dyDescent="0.2">
      <c r="A30" s="28"/>
      <c r="B30" s="49" t="str">
        <f>Scrutateur!E30</f>
        <v/>
      </c>
      <c r="C30" s="29"/>
      <c r="D30" s="30"/>
      <c r="E30" s="31"/>
      <c r="F30" s="32"/>
      <c r="G30" s="33"/>
      <c r="H30" s="34"/>
      <c r="I30" s="35"/>
      <c r="J30" s="36"/>
      <c r="K30" s="37"/>
      <c r="L30" s="38"/>
      <c r="M30" s="62"/>
      <c r="N30" s="63"/>
    </row>
    <row r="31" spans="1:14" ht="15" customHeight="1" x14ac:dyDescent="0.2">
      <c r="A31" s="28"/>
      <c r="B31" s="49" t="str">
        <f>Scrutateur!E31</f>
        <v/>
      </c>
      <c r="C31" s="29"/>
      <c r="D31" s="30"/>
      <c r="E31" s="31"/>
      <c r="F31" s="32"/>
      <c r="G31" s="33"/>
      <c r="H31" s="34"/>
      <c r="I31" s="35"/>
      <c r="J31" s="36"/>
      <c r="K31" s="37"/>
      <c r="L31" s="38"/>
      <c r="M31" s="62"/>
      <c r="N31" s="63"/>
    </row>
    <row r="32" spans="1:14" ht="15" customHeight="1" x14ac:dyDescent="0.2">
      <c r="A32" s="28"/>
      <c r="B32" s="49" t="str">
        <f>Scrutateur!E32</f>
        <v/>
      </c>
      <c r="C32" s="29"/>
      <c r="D32" s="30"/>
      <c r="E32" s="31"/>
      <c r="F32" s="32"/>
      <c r="G32" s="33"/>
      <c r="H32" s="34"/>
      <c r="I32" s="35"/>
      <c r="J32" s="36"/>
      <c r="K32" s="37"/>
      <c r="L32" s="38"/>
      <c r="M32" s="62"/>
      <c r="N32" s="63"/>
    </row>
    <row r="33" spans="1:14" ht="15" customHeight="1" x14ac:dyDescent="0.2">
      <c r="A33" s="28"/>
      <c r="B33" s="49" t="str">
        <f>Scrutateur!E33</f>
        <v/>
      </c>
      <c r="C33" s="29"/>
      <c r="D33" s="30"/>
      <c r="E33" s="31"/>
      <c r="F33" s="32"/>
      <c r="G33" s="33"/>
      <c r="H33" s="34"/>
      <c r="I33" s="35"/>
      <c r="J33" s="36"/>
      <c r="K33" s="37"/>
      <c r="L33" s="38"/>
      <c r="M33" s="62"/>
      <c r="N33" s="63"/>
    </row>
    <row r="34" spans="1:14" ht="15" customHeight="1" x14ac:dyDescent="0.2">
      <c r="A34" s="28"/>
      <c r="B34" s="49" t="str">
        <f>Scrutateur!E34</f>
        <v/>
      </c>
      <c r="C34" s="29"/>
      <c r="D34" s="30"/>
      <c r="E34" s="31"/>
      <c r="F34" s="32"/>
      <c r="G34" s="33"/>
      <c r="H34" s="34"/>
      <c r="I34" s="35"/>
      <c r="J34" s="36"/>
      <c r="K34" s="37"/>
      <c r="L34" s="38"/>
      <c r="M34" s="62"/>
      <c r="N34" s="63"/>
    </row>
    <row r="35" spans="1:14" ht="15" customHeight="1" x14ac:dyDescent="0.2">
      <c r="A35" s="28"/>
      <c r="B35" s="49" t="str">
        <f>Scrutateur!E35</f>
        <v/>
      </c>
      <c r="C35" s="29"/>
      <c r="D35" s="30"/>
      <c r="E35" s="31"/>
      <c r="F35" s="32"/>
      <c r="G35" s="33"/>
      <c r="H35" s="34"/>
      <c r="I35" s="35"/>
      <c r="J35" s="36"/>
      <c r="K35" s="37"/>
      <c r="L35" s="38"/>
      <c r="M35" s="62"/>
      <c r="N35" s="63"/>
    </row>
    <row r="36" spans="1:14" ht="15" customHeight="1" x14ac:dyDescent="0.2">
      <c r="A36" s="28"/>
      <c r="B36" s="49" t="str">
        <f>Scrutateur!E36</f>
        <v/>
      </c>
      <c r="C36" s="29"/>
      <c r="D36" s="30"/>
      <c r="E36" s="31"/>
      <c r="F36" s="32"/>
      <c r="G36" s="33"/>
      <c r="H36" s="34"/>
      <c r="I36" s="35"/>
      <c r="J36" s="36"/>
      <c r="K36" s="37"/>
      <c r="L36" s="38"/>
      <c r="M36" s="62"/>
      <c r="N36" s="63"/>
    </row>
    <row r="37" spans="1:14" ht="15" customHeight="1" x14ac:dyDescent="0.2">
      <c r="A37" s="28"/>
      <c r="B37" s="49" t="str">
        <f>Scrutateur!E37</f>
        <v/>
      </c>
      <c r="C37" s="29"/>
      <c r="D37" s="30"/>
      <c r="E37" s="31"/>
      <c r="F37" s="32"/>
      <c r="G37" s="33"/>
      <c r="H37" s="34"/>
      <c r="I37" s="35"/>
      <c r="J37" s="36"/>
      <c r="K37" s="37"/>
      <c r="L37" s="38"/>
      <c r="M37" s="62"/>
      <c r="N37" s="63"/>
    </row>
    <row r="38" spans="1:14" ht="15" customHeight="1" x14ac:dyDescent="0.2">
      <c r="A38" s="28"/>
      <c r="B38" s="49" t="str">
        <f>Scrutateur!E38</f>
        <v/>
      </c>
      <c r="C38" s="29"/>
      <c r="D38" s="30"/>
      <c r="E38" s="31"/>
      <c r="F38" s="32"/>
      <c r="G38" s="33"/>
      <c r="H38" s="34"/>
      <c r="I38" s="35"/>
      <c r="J38" s="36"/>
      <c r="K38" s="37"/>
      <c r="L38" s="38"/>
      <c r="M38" s="62"/>
      <c r="N38" s="63"/>
    </row>
    <row r="39" spans="1:14" ht="15" customHeight="1" x14ac:dyDescent="0.2">
      <c r="A39" s="28"/>
      <c r="B39" s="49" t="str">
        <f>Scrutateur!E39</f>
        <v/>
      </c>
      <c r="C39" s="29"/>
      <c r="D39" s="30"/>
      <c r="E39" s="31"/>
      <c r="F39" s="32"/>
      <c r="G39" s="33"/>
      <c r="H39" s="34"/>
      <c r="I39" s="35"/>
      <c r="J39" s="36"/>
      <c r="K39" s="37"/>
      <c r="L39" s="38"/>
      <c r="M39" s="62"/>
      <c r="N39" s="63"/>
    </row>
    <row r="40" spans="1:14" ht="15" customHeight="1" x14ac:dyDescent="0.2">
      <c r="A40" s="28"/>
      <c r="B40" s="49" t="str">
        <f>Scrutateur!E40</f>
        <v/>
      </c>
      <c r="C40" s="29"/>
      <c r="D40" s="30"/>
      <c r="E40" s="31"/>
      <c r="F40" s="32"/>
      <c r="G40" s="33"/>
      <c r="H40" s="34"/>
      <c r="I40" s="35"/>
      <c r="J40" s="36"/>
      <c r="K40" s="37"/>
      <c r="L40" s="38"/>
      <c r="M40" s="62"/>
      <c r="N40" s="63"/>
    </row>
    <row r="41" spans="1:14" ht="15" customHeight="1" x14ac:dyDescent="0.2">
      <c r="A41" s="28"/>
      <c r="B41" s="49" t="str">
        <f>Scrutateur!E41</f>
        <v/>
      </c>
      <c r="C41" s="29"/>
      <c r="D41" s="30"/>
      <c r="E41" s="31"/>
      <c r="F41" s="32"/>
      <c r="G41" s="33"/>
      <c r="H41" s="34"/>
      <c r="I41" s="35"/>
      <c r="J41" s="36"/>
      <c r="K41" s="37"/>
      <c r="L41" s="38"/>
      <c r="M41" s="62"/>
      <c r="N41" s="63"/>
    </row>
    <row r="42" spans="1:14" ht="15" customHeight="1" x14ac:dyDescent="0.2">
      <c r="A42" s="28"/>
      <c r="B42" s="49" t="str">
        <f>Scrutateur!E42</f>
        <v/>
      </c>
      <c r="C42" s="29"/>
      <c r="D42" s="30"/>
      <c r="E42" s="31"/>
      <c r="F42" s="32"/>
      <c r="G42" s="33"/>
      <c r="H42" s="34"/>
      <c r="I42" s="35"/>
      <c r="J42" s="36"/>
      <c r="K42" s="37"/>
      <c r="L42" s="38"/>
      <c r="M42" s="62"/>
      <c r="N42" s="63"/>
    </row>
    <row r="43" spans="1:14" ht="15" customHeight="1" x14ac:dyDescent="0.2">
      <c r="A43" s="28"/>
      <c r="B43" s="49" t="str">
        <f>Scrutateur!E43</f>
        <v/>
      </c>
      <c r="C43" s="29"/>
      <c r="D43" s="30"/>
      <c r="E43" s="31"/>
      <c r="F43" s="32"/>
      <c r="G43" s="33"/>
      <c r="H43" s="34"/>
      <c r="I43" s="35"/>
      <c r="J43" s="36"/>
      <c r="K43" s="37"/>
      <c r="L43" s="38"/>
      <c r="M43" s="62"/>
      <c r="N43" s="63"/>
    </row>
    <row r="44" spans="1:14" ht="15" customHeight="1" x14ac:dyDescent="0.2">
      <c r="A44" s="28"/>
      <c r="B44" s="49" t="str">
        <f>Scrutateur!E44</f>
        <v/>
      </c>
      <c r="C44" s="29"/>
      <c r="D44" s="30"/>
      <c r="E44" s="31"/>
      <c r="F44" s="32"/>
      <c r="G44" s="33"/>
      <c r="H44" s="34"/>
      <c r="I44" s="35"/>
      <c r="J44" s="36"/>
      <c r="K44" s="37"/>
      <c r="L44" s="38"/>
      <c r="M44" s="62"/>
      <c r="N44" s="63"/>
    </row>
    <row r="45" spans="1:14" ht="15" customHeight="1" x14ac:dyDescent="0.2">
      <c r="A45" s="28"/>
      <c r="B45" s="49" t="str">
        <f>Scrutateur!E45</f>
        <v/>
      </c>
      <c r="C45" s="29"/>
      <c r="D45" s="30"/>
      <c r="E45" s="31"/>
      <c r="F45" s="32"/>
      <c r="G45" s="33"/>
      <c r="H45" s="34"/>
      <c r="I45" s="35"/>
      <c r="J45" s="36"/>
      <c r="K45" s="37"/>
      <c r="L45" s="38"/>
      <c r="M45" s="62"/>
      <c r="N45" s="63"/>
    </row>
    <row r="46" spans="1:14" ht="15" customHeight="1" x14ac:dyDescent="0.2">
      <c r="A46" s="28"/>
      <c r="B46" s="49" t="str">
        <f>Scrutateur!E46</f>
        <v/>
      </c>
      <c r="C46" s="29"/>
      <c r="D46" s="30"/>
      <c r="E46" s="31"/>
      <c r="F46" s="32"/>
      <c r="G46" s="33"/>
      <c r="H46" s="34"/>
      <c r="I46" s="35"/>
      <c r="J46" s="36"/>
      <c r="K46" s="37"/>
      <c r="L46" s="38"/>
      <c r="M46" s="62"/>
      <c r="N46" s="63"/>
    </row>
    <row r="47" spans="1:14" ht="15" customHeight="1" x14ac:dyDescent="0.2">
      <c r="A47" s="28"/>
      <c r="B47" s="49" t="str">
        <f>Scrutateur!E47</f>
        <v/>
      </c>
      <c r="C47" s="29"/>
      <c r="D47" s="30"/>
      <c r="E47" s="31"/>
      <c r="F47" s="32"/>
      <c r="G47" s="33"/>
      <c r="H47" s="34"/>
      <c r="I47" s="35"/>
      <c r="J47" s="36"/>
      <c r="K47" s="37"/>
      <c r="L47" s="38"/>
      <c r="M47" s="62"/>
      <c r="N47" s="63"/>
    </row>
    <row r="48" spans="1:14" ht="15" customHeight="1" x14ac:dyDescent="0.2">
      <c r="A48" s="28"/>
      <c r="B48" s="49" t="str">
        <f>Scrutateur!E48</f>
        <v/>
      </c>
      <c r="C48" s="29"/>
      <c r="D48" s="30"/>
      <c r="E48" s="31"/>
      <c r="F48" s="32"/>
      <c r="G48" s="33"/>
      <c r="H48" s="34"/>
      <c r="I48" s="35"/>
      <c r="J48" s="36"/>
      <c r="K48" s="37"/>
      <c r="L48" s="38"/>
      <c r="M48" s="62"/>
      <c r="N48" s="63"/>
    </row>
    <row r="49" spans="1:14" ht="15" customHeight="1" x14ac:dyDescent="0.2">
      <c r="A49" s="28"/>
      <c r="B49" s="49" t="str">
        <f>Scrutateur!E49</f>
        <v/>
      </c>
      <c r="C49" s="29"/>
      <c r="D49" s="30"/>
      <c r="E49" s="31"/>
      <c r="F49" s="32"/>
      <c r="G49" s="33"/>
      <c r="H49" s="34"/>
      <c r="I49" s="35"/>
      <c r="J49" s="36"/>
      <c r="K49" s="37"/>
      <c r="L49" s="38"/>
      <c r="M49" s="62"/>
      <c r="N49" s="63"/>
    </row>
    <row r="50" spans="1:14" ht="15" customHeight="1" x14ac:dyDescent="0.2">
      <c r="A50" s="28"/>
      <c r="B50" s="49" t="str">
        <f>Scrutateur!E50</f>
        <v/>
      </c>
      <c r="C50" s="29"/>
      <c r="D50" s="30"/>
      <c r="E50" s="31"/>
      <c r="F50" s="32"/>
      <c r="G50" s="33"/>
      <c r="H50" s="34"/>
      <c r="I50" s="35"/>
      <c r="J50" s="36"/>
      <c r="K50" s="37"/>
      <c r="L50" s="38"/>
      <c r="M50" s="62"/>
      <c r="N50" s="63"/>
    </row>
    <row r="51" spans="1:14" ht="15" customHeight="1" x14ac:dyDescent="0.2">
      <c r="A51" s="28"/>
      <c r="B51" s="49" t="str">
        <f>Scrutateur!E51</f>
        <v/>
      </c>
      <c r="C51" s="29"/>
      <c r="D51" s="30"/>
      <c r="E51" s="31"/>
      <c r="F51" s="32"/>
      <c r="G51" s="33"/>
      <c r="H51" s="34"/>
      <c r="I51" s="35"/>
      <c r="J51" s="36"/>
      <c r="K51" s="37"/>
      <c r="L51" s="38"/>
      <c r="M51" s="62"/>
      <c r="N51" s="63"/>
    </row>
    <row r="52" spans="1:14" ht="15" customHeight="1" x14ac:dyDescent="0.2">
      <c r="A52" s="28"/>
      <c r="B52" s="49" t="str">
        <f>Scrutateur!E52</f>
        <v/>
      </c>
      <c r="C52" s="29"/>
      <c r="D52" s="30"/>
      <c r="E52" s="31"/>
      <c r="F52" s="32"/>
      <c r="G52" s="33"/>
      <c r="H52" s="34"/>
      <c r="I52" s="35"/>
      <c r="J52" s="36"/>
      <c r="K52" s="37"/>
      <c r="L52" s="38"/>
      <c r="M52" s="62"/>
      <c r="N52" s="63"/>
    </row>
    <row r="53" spans="1:14" ht="15" customHeight="1" x14ac:dyDescent="0.2">
      <c r="A53" s="28"/>
      <c r="B53" s="49" t="str">
        <f>Scrutateur!E53</f>
        <v/>
      </c>
      <c r="C53" s="29"/>
      <c r="D53" s="30"/>
      <c r="E53" s="31"/>
      <c r="F53" s="32"/>
      <c r="G53" s="33"/>
      <c r="H53" s="34"/>
      <c r="I53" s="35"/>
      <c r="J53" s="36"/>
      <c r="K53" s="37"/>
      <c r="L53" s="38"/>
      <c r="M53" s="62"/>
      <c r="N53" s="63"/>
    </row>
    <row r="54" spans="1:14" ht="15" customHeight="1" x14ac:dyDescent="0.2">
      <c r="A54" s="28"/>
      <c r="B54" s="49" t="str">
        <f>Scrutateur!E54</f>
        <v/>
      </c>
      <c r="C54" s="29"/>
      <c r="D54" s="30"/>
      <c r="E54" s="31"/>
      <c r="F54" s="32"/>
      <c r="G54" s="33"/>
      <c r="H54" s="34"/>
      <c r="I54" s="35"/>
      <c r="J54" s="36"/>
      <c r="K54" s="37"/>
      <c r="L54" s="38"/>
      <c r="M54" s="62"/>
      <c r="N54" s="63"/>
    </row>
    <row r="55" spans="1:14" ht="15" customHeight="1" x14ac:dyDescent="0.2">
      <c r="A55" s="28"/>
      <c r="B55" s="49" t="str">
        <f>Scrutateur!E55</f>
        <v/>
      </c>
      <c r="C55" s="29"/>
      <c r="D55" s="30"/>
      <c r="E55" s="31"/>
      <c r="F55" s="32"/>
      <c r="G55" s="33"/>
      <c r="H55" s="34"/>
      <c r="I55" s="35"/>
      <c r="J55" s="36"/>
      <c r="K55" s="37"/>
      <c r="L55" s="38"/>
      <c r="M55" s="62"/>
      <c r="N55" s="63"/>
    </row>
    <row r="56" spans="1:14" ht="15" customHeight="1" x14ac:dyDescent="0.2">
      <c r="A56" s="28"/>
      <c r="B56" s="49" t="str">
        <f>Scrutateur!E56</f>
        <v/>
      </c>
      <c r="C56" s="29"/>
      <c r="D56" s="30"/>
      <c r="E56" s="31"/>
      <c r="F56" s="32"/>
      <c r="G56" s="33"/>
      <c r="H56" s="34"/>
      <c r="I56" s="35"/>
      <c r="J56" s="36"/>
      <c r="K56" s="37"/>
      <c r="L56" s="38"/>
      <c r="M56" s="62"/>
      <c r="N56" s="63"/>
    </row>
    <row r="57" spans="1:14" ht="15" customHeight="1" x14ac:dyDescent="0.2">
      <c r="A57" s="28"/>
      <c r="B57" s="49" t="str">
        <f>Scrutateur!E57</f>
        <v/>
      </c>
      <c r="C57" s="29"/>
      <c r="D57" s="30"/>
      <c r="E57" s="31"/>
      <c r="F57" s="32"/>
      <c r="G57" s="33"/>
      <c r="H57" s="34"/>
      <c r="I57" s="35"/>
      <c r="J57" s="36"/>
      <c r="K57" s="37"/>
      <c r="L57" s="38"/>
      <c r="M57" s="62"/>
      <c r="N57" s="63"/>
    </row>
    <row r="58" spans="1:14" ht="15" customHeight="1" x14ac:dyDescent="0.2">
      <c r="A58" s="28"/>
      <c r="B58" s="49" t="str">
        <f>Scrutateur!E58</f>
        <v/>
      </c>
      <c r="C58" s="29"/>
      <c r="D58" s="30"/>
      <c r="E58" s="31"/>
      <c r="F58" s="32"/>
      <c r="G58" s="33"/>
      <c r="H58" s="34"/>
      <c r="I58" s="35"/>
      <c r="J58" s="36"/>
      <c r="K58" s="37"/>
      <c r="L58" s="38"/>
      <c r="M58" s="62"/>
      <c r="N58" s="63"/>
    </row>
    <row r="59" spans="1:14" ht="15" customHeight="1" x14ac:dyDescent="0.2">
      <c r="A59" s="28"/>
      <c r="B59" s="49" t="str">
        <f>Scrutateur!E59</f>
        <v/>
      </c>
      <c r="C59" s="29"/>
      <c r="D59" s="30"/>
      <c r="E59" s="31"/>
      <c r="F59" s="32"/>
      <c r="G59" s="33"/>
      <c r="H59" s="34"/>
      <c r="I59" s="35"/>
      <c r="J59" s="36"/>
      <c r="K59" s="37"/>
      <c r="L59" s="38"/>
      <c r="M59" s="62"/>
      <c r="N59" s="63"/>
    </row>
    <row r="60" spans="1:14" ht="15" customHeight="1" x14ac:dyDescent="0.2">
      <c r="A60" s="28"/>
      <c r="B60" s="49" t="str">
        <f>Scrutateur!E60</f>
        <v/>
      </c>
      <c r="C60" s="29"/>
      <c r="D60" s="30"/>
      <c r="E60" s="31"/>
      <c r="F60" s="32"/>
      <c r="G60" s="33"/>
      <c r="H60" s="34"/>
      <c r="I60" s="35"/>
      <c r="J60" s="36"/>
      <c r="K60" s="37"/>
      <c r="L60" s="38"/>
      <c r="M60" s="62"/>
      <c r="N60" s="63"/>
    </row>
    <row r="61" spans="1:14" ht="15" customHeight="1" x14ac:dyDescent="0.2">
      <c r="A61" s="28"/>
      <c r="B61" s="49" t="str">
        <f>Scrutateur!E61</f>
        <v/>
      </c>
      <c r="C61" s="29"/>
      <c r="D61" s="30"/>
      <c r="E61" s="31"/>
      <c r="F61" s="32"/>
      <c r="G61" s="33"/>
      <c r="H61" s="34"/>
      <c r="I61" s="35"/>
      <c r="J61" s="36"/>
      <c r="K61" s="37"/>
      <c r="L61" s="38"/>
      <c r="M61" s="62"/>
      <c r="N61" s="63"/>
    </row>
    <row r="62" spans="1:14" ht="15" customHeight="1" x14ac:dyDescent="0.2">
      <c r="A62" s="28"/>
      <c r="B62" s="49" t="str">
        <f>Scrutateur!E62</f>
        <v/>
      </c>
      <c r="C62" s="29"/>
      <c r="D62" s="30"/>
      <c r="E62" s="31"/>
      <c r="F62" s="32"/>
      <c r="G62" s="33"/>
      <c r="H62" s="34"/>
      <c r="I62" s="35"/>
      <c r="J62" s="36"/>
      <c r="K62" s="37"/>
      <c r="L62" s="38"/>
      <c r="M62" s="62"/>
      <c r="N62" s="63"/>
    </row>
    <row r="63" spans="1:14" ht="15" customHeight="1" x14ac:dyDescent="0.2">
      <c r="A63" s="28"/>
      <c r="B63" s="49" t="str">
        <f>Scrutateur!E63</f>
        <v/>
      </c>
      <c r="C63" s="29"/>
      <c r="D63" s="30"/>
      <c r="E63" s="31"/>
      <c r="F63" s="32"/>
      <c r="G63" s="33"/>
      <c r="H63" s="34"/>
      <c r="I63" s="35"/>
      <c r="J63" s="36"/>
      <c r="K63" s="37"/>
      <c r="L63" s="38"/>
      <c r="M63" s="62"/>
      <c r="N63" s="63"/>
    </row>
    <row r="64" spans="1:14" ht="15" customHeight="1" x14ac:dyDescent="0.2">
      <c r="A64" s="28"/>
      <c r="B64" s="49" t="str">
        <f>Scrutateur!E64</f>
        <v/>
      </c>
      <c r="C64" s="29"/>
      <c r="D64" s="30"/>
      <c r="E64" s="31"/>
      <c r="F64" s="32"/>
      <c r="G64" s="33"/>
      <c r="H64" s="34"/>
      <c r="I64" s="35"/>
      <c r="J64" s="36"/>
      <c r="K64" s="37"/>
      <c r="L64" s="38"/>
      <c r="M64" s="62"/>
      <c r="N64" s="63"/>
    </row>
    <row r="65" spans="1:14" ht="15" customHeight="1" x14ac:dyDescent="0.2">
      <c r="A65" s="28"/>
      <c r="B65" s="49" t="str">
        <f>Scrutateur!E65</f>
        <v/>
      </c>
      <c r="C65" s="29"/>
      <c r="D65" s="30"/>
      <c r="E65" s="31"/>
      <c r="F65" s="32"/>
      <c r="G65" s="33"/>
      <c r="H65" s="34"/>
      <c r="I65" s="35"/>
      <c r="J65" s="36"/>
      <c r="K65" s="37"/>
      <c r="L65" s="38"/>
      <c r="M65" s="62"/>
      <c r="N65" s="63"/>
    </row>
    <row r="66" spans="1:14" ht="15" customHeight="1" x14ac:dyDescent="0.2">
      <c r="A66" s="28"/>
      <c r="B66" s="49" t="str">
        <f>Scrutateur!E66</f>
        <v/>
      </c>
      <c r="C66" s="29"/>
      <c r="D66" s="30"/>
      <c r="E66" s="31"/>
      <c r="F66" s="32"/>
      <c r="G66" s="33"/>
      <c r="H66" s="34"/>
      <c r="I66" s="35"/>
      <c r="J66" s="36"/>
      <c r="K66" s="37"/>
      <c r="L66" s="38"/>
      <c r="M66" s="62"/>
      <c r="N66" s="63"/>
    </row>
    <row r="67" spans="1:14" ht="15" customHeight="1" x14ac:dyDescent="0.2">
      <c r="A67" s="28"/>
      <c r="B67" s="49" t="str">
        <f>Scrutateur!E67</f>
        <v/>
      </c>
      <c r="C67" s="29"/>
      <c r="D67" s="30"/>
      <c r="E67" s="31"/>
      <c r="F67" s="32"/>
      <c r="G67" s="33"/>
      <c r="H67" s="34"/>
      <c r="I67" s="35"/>
      <c r="J67" s="36"/>
      <c r="K67" s="37"/>
      <c r="L67" s="38"/>
      <c r="M67" s="62"/>
      <c r="N67" s="63"/>
    </row>
    <row r="68" spans="1:14" ht="15" customHeight="1" x14ac:dyDescent="0.2">
      <c r="A68" s="28"/>
      <c r="B68" s="49" t="str">
        <f>Scrutateur!E68</f>
        <v/>
      </c>
      <c r="C68" s="29"/>
      <c r="D68" s="30"/>
      <c r="E68" s="31"/>
      <c r="F68" s="32"/>
      <c r="G68" s="33"/>
      <c r="H68" s="34"/>
      <c r="I68" s="35"/>
      <c r="J68" s="36"/>
      <c r="K68" s="37"/>
      <c r="L68" s="38"/>
      <c r="M68" s="62"/>
      <c r="N68" s="63"/>
    </row>
    <row r="69" spans="1:14" ht="15" customHeight="1" x14ac:dyDescent="0.2">
      <c r="A69" s="28"/>
      <c r="B69" s="49" t="str">
        <f>Scrutateur!E69</f>
        <v/>
      </c>
      <c r="C69" s="29"/>
      <c r="D69" s="30"/>
      <c r="E69" s="31"/>
      <c r="F69" s="32"/>
      <c r="G69" s="33"/>
      <c r="H69" s="34"/>
      <c r="I69" s="35"/>
      <c r="J69" s="36"/>
      <c r="K69" s="37"/>
      <c r="L69" s="38"/>
      <c r="M69" s="62"/>
      <c r="N69" s="63"/>
    </row>
    <row r="70" spans="1:14" ht="15" customHeight="1" x14ac:dyDescent="0.2">
      <c r="A70" s="28"/>
      <c r="B70" s="49" t="str">
        <f>Scrutateur!E70</f>
        <v/>
      </c>
      <c r="C70" s="29"/>
      <c r="D70" s="30"/>
      <c r="E70" s="31"/>
      <c r="F70" s="32"/>
      <c r="G70" s="33"/>
      <c r="H70" s="34"/>
      <c r="I70" s="35"/>
      <c r="J70" s="36"/>
      <c r="K70" s="37"/>
      <c r="L70" s="38"/>
      <c r="M70" s="62"/>
      <c r="N70" s="63"/>
    </row>
    <row r="71" spans="1:14" ht="15" customHeight="1" x14ac:dyDescent="0.2">
      <c r="A71" s="28"/>
      <c r="B71" s="49" t="str">
        <f>Scrutateur!E71</f>
        <v/>
      </c>
      <c r="C71" s="29"/>
      <c r="D71" s="30"/>
      <c r="E71" s="31"/>
      <c r="F71" s="32"/>
      <c r="G71" s="33"/>
      <c r="H71" s="34"/>
      <c r="I71" s="35"/>
      <c r="J71" s="36"/>
      <c r="K71" s="37"/>
      <c r="L71" s="38"/>
      <c r="M71" s="62"/>
      <c r="N71" s="63"/>
    </row>
    <row r="72" spans="1:14" ht="15" customHeight="1" x14ac:dyDescent="0.2">
      <c r="A72" s="28"/>
      <c r="B72" s="49" t="str">
        <f>Scrutateur!E72</f>
        <v/>
      </c>
      <c r="C72" s="29"/>
      <c r="D72" s="30"/>
      <c r="E72" s="31"/>
      <c r="F72" s="32"/>
      <c r="G72" s="33"/>
      <c r="H72" s="34"/>
      <c r="I72" s="35"/>
      <c r="J72" s="36"/>
      <c r="K72" s="37"/>
      <c r="L72" s="38"/>
      <c r="M72" s="62"/>
      <c r="N72" s="63"/>
    </row>
    <row r="73" spans="1:14" ht="15" customHeight="1" x14ac:dyDescent="0.2">
      <c r="A73" s="28"/>
      <c r="B73" s="49" t="str">
        <f>Scrutateur!E73</f>
        <v/>
      </c>
      <c r="C73" s="29"/>
      <c r="D73" s="30"/>
      <c r="E73" s="31"/>
      <c r="F73" s="32"/>
      <c r="G73" s="33"/>
      <c r="H73" s="34"/>
      <c r="I73" s="35"/>
      <c r="J73" s="36"/>
      <c r="K73" s="37"/>
      <c r="L73" s="38"/>
      <c r="M73" s="62"/>
      <c r="N73" s="63"/>
    </row>
    <row r="74" spans="1:14" ht="15" customHeight="1" x14ac:dyDescent="0.2">
      <c r="A74" s="28"/>
      <c r="B74" s="49" t="str">
        <f>Scrutateur!E74</f>
        <v/>
      </c>
      <c r="C74" s="29"/>
      <c r="D74" s="30"/>
      <c r="E74" s="31"/>
      <c r="F74" s="32"/>
      <c r="G74" s="33"/>
      <c r="H74" s="34"/>
      <c r="I74" s="35"/>
      <c r="J74" s="36"/>
      <c r="K74" s="37"/>
      <c r="L74" s="38"/>
      <c r="M74" s="62"/>
      <c r="N74" s="63"/>
    </row>
    <row r="75" spans="1:14" ht="15" customHeight="1" x14ac:dyDescent="0.2">
      <c r="A75" s="28"/>
      <c r="B75" s="49" t="str">
        <f>Scrutateur!E75</f>
        <v/>
      </c>
      <c r="C75" s="29"/>
      <c r="D75" s="30"/>
      <c r="E75" s="31"/>
      <c r="F75" s="32"/>
      <c r="G75" s="33"/>
      <c r="H75" s="34"/>
      <c r="I75" s="35"/>
      <c r="J75" s="36"/>
      <c r="K75" s="37"/>
      <c r="L75" s="38"/>
      <c r="M75" s="62"/>
      <c r="N75" s="63"/>
    </row>
    <row r="76" spans="1:14" ht="15" customHeight="1" x14ac:dyDescent="0.2">
      <c r="A76" s="28"/>
      <c r="B76" s="49" t="str">
        <f>Scrutateur!E76</f>
        <v/>
      </c>
      <c r="C76" s="29"/>
      <c r="D76" s="30"/>
      <c r="E76" s="31"/>
      <c r="F76" s="32"/>
      <c r="G76" s="33"/>
      <c r="H76" s="34"/>
      <c r="I76" s="35"/>
      <c r="J76" s="36"/>
      <c r="K76" s="37"/>
      <c r="L76" s="38"/>
      <c r="M76" s="62"/>
      <c r="N76" s="63"/>
    </row>
    <row r="77" spans="1:14" ht="15" customHeight="1" x14ac:dyDescent="0.2">
      <c r="A77" s="28"/>
      <c r="B77" s="49" t="str">
        <f>Scrutateur!E77</f>
        <v/>
      </c>
      <c r="C77" s="29"/>
      <c r="D77" s="30"/>
      <c r="E77" s="31"/>
      <c r="F77" s="32"/>
      <c r="G77" s="33"/>
      <c r="H77" s="34"/>
      <c r="I77" s="35"/>
      <c r="J77" s="36"/>
      <c r="K77" s="37"/>
      <c r="L77" s="38"/>
      <c r="M77" s="62"/>
      <c r="N77" s="63"/>
    </row>
    <row r="78" spans="1:14" ht="15" customHeight="1" x14ac:dyDescent="0.2">
      <c r="A78" s="28"/>
      <c r="B78" s="49" t="str">
        <f>Scrutateur!E78</f>
        <v/>
      </c>
      <c r="C78" s="29"/>
      <c r="D78" s="30"/>
      <c r="E78" s="31"/>
      <c r="F78" s="32"/>
      <c r="G78" s="33"/>
      <c r="H78" s="34"/>
      <c r="I78" s="35"/>
      <c r="J78" s="36"/>
      <c r="K78" s="37"/>
      <c r="L78" s="38"/>
      <c r="M78" s="62"/>
      <c r="N78" s="63"/>
    </row>
    <row r="79" spans="1:14" ht="15" customHeight="1" x14ac:dyDescent="0.2">
      <c r="A79" s="28"/>
      <c r="B79" s="49" t="str">
        <f>Scrutateur!E79</f>
        <v/>
      </c>
      <c r="C79" s="29"/>
      <c r="D79" s="30"/>
      <c r="E79" s="31"/>
      <c r="F79" s="32"/>
      <c r="G79" s="33"/>
      <c r="H79" s="34"/>
      <c r="I79" s="35"/>
      <c r="J79" s="36"/>
      <c r="K79" s="37"/>
      <c r="L79" s="38"/>
      <c r="M79" s="62"/>
      <c r="N79" s="63"/>
    </row>
    <row r="80" spans="1:14" ht="15" customHeight="1" x14ac:dyDescent="0.2">
      <c r="A80" s="28"/>
      <c r="B80" s="49" t="str">
        <f>Scrutateur!E80</f>
        <v/>
      </c>
      <c r="C80" s="29"/>
      <c r="D80" s="30"/>
      <c r="E80" s="31"/>
      <c r="F80" s="32"/>
      <c r="G80" s="33"/>
      <c r="H80" s="34"/>
      <c r="I80" s="35"/>
      <c r="J80" s="36"/>
      <c r="K80" s="37"/>
      <c r="L80" s="38"/>
      <c r="M80" s="62"/>
      <c r="N80" s="63"/>
    </row>
    <row r="81" spans="1:14" ht="15" customHeight="1" x14ac:dyDescent="0.2">
      <c r="A81" s="28"/>
      <c r="B81" s="49" t="str">
        <f>Scrutateur!E81</f>
        <v/>
      </c>
      <c r="C81" s="29"/>
      <c r="D81" s="30"/>
      <c r="E81" s="31"/>
      <c r="F81" s="32"/>
      <c r="G81" s="33"/>
      <c r="H81" s="34"/>
      <c r="I81" s="35"/>
      <c r="J81" s="36"/>
      <c r="K81" s="37"/>
      <c r="L81" s="38"/>
      <c r="M81" s="62"/>
      <c r="N81" s="63"/>
    </row>
    <row r="82" spans="1:14" ht="15" customHeight="1" x14ac:dyDescent="0.2">
      <c r="A82" s="28"/>
      <c r="B82" s="49" t="str">
        <f>Scrutateur!E82</f>
        <v/>
      </c>
      <c r="C82" s="29"/>
      <c r="D82" s="30"/>
      <c r="E82" s="31"/>
      <c r="F82" s="32"/>
      <c r="G82" s="33"/>
      <c r="H82" s="34"/>
      <c r="I82" s="35"/>
      <c r="J82" s="36"/>
      <c r="K82" s="37"/>
      <c r="L82" s="38"/>
      <c r="M82" s="62"/>
      <c r="N82" s="63"/>
    </row>
    <row r="83" spans="1:14" ht="15" customHeight="1" x14ac:dyDescent="0.2">
      <c r="A83" s="28"/>
      <c r="B83" s="49" t="str">
        <f>Scrutateur!E83</f>
        <v/>
      </c>
      <c r="C83" s="29"/>
      <c r="D83" s="30"/>
      <c r="E83" s="31"/>
      <c r="F83" s="32"/>
      <c r="G83" s="33"/>
      <c r="H83" s="34"/>
      <c r="I83" s="35"/>
      <c r="J83" s="36"/>
      <c r="K83" s="37"/>
      <c r="L83" s="38"/>
      <c r="M83" s="62"/>
      <c r="N83" s="63"/>
    </row>
    <row r="84" spans="1:14" ht="15" customHeight="1" x14ac:dyDescent="0.2">
      <c r="A84" s="28"/>
      <c r="B84" s="49" t="str">
        <f>Scrutateur!E84</f>
        <v/>
      </c>
      <c r="C84" s="29"/>
      <c r="D84" s="30"/>
      <c r="E84" s="31"/>
      <c r="F84" s="32"/>
      <c r="G84" s="33"/>
      <c r="H84" s="34"/>
      <c r="I84" s="35"/>
      <c r="J84" s="36"/>
      <c r="K84" s="37"/>
      <c r="L84" s="38"/>
      <c r="M84" s="62"/>
      <c r="N84" s="63"/>
    </row>
    <row r="85" spans="1:14" ht="15" customHeight="1" x14ac:dyDescent="0.2">
      <c r="A85" s="28"/>
      <c r="B85" s="49" t="str">
        <f>Scrutateur!E85</f>
        <v/>
      </c>
      <c r="C85" s="29"/>
      <c r="D85" s="30"/>
      <c r="E85" s="31"/>
      <c r="F85" s="32"/>
      <c r="G85" s="33"/>
      <c r="H85" s="34"/>
      <c r="I85" s="35"/>
      <c r="J85" s="36"/>
      <c r="K85" s="37"/>
      <c r="L85" s="38"/>
      <c r="M85" s="62"/>
      <c r="N85" s="63"/>
    </row>
    <row r="86" spans="1:14" ht="15" customHeight="1" x14ac:dyDescent="0.2">
      <c r="A86" s="28"/>
      <c r="B86" s="49" t="str">
        <f>Scrutateur!E86</f>
        <v/>
      </c>
      <c r="C86" s="29"/>
      <c r="D86" s="30"/>
      <c r="E86" s="31"/>
      <c r="F86" s="32"/>
      <c r="G86" s="33"/>
      <c r="H86" s="34"/>
      <c r="I86" s="35"/>
      <c r="J86" s="36"/>
      <c r="K86" s="37"/>
      <c r="L86" s="38"/>
      <c r="M86" s="62"/>
      <c r="N86" s="63"/>
    </row>
    <row r="87" spans="1:14" ht="15" customHeight="1" x14ac:dyDescent="0.2">
      <c r="A87" s="28"/>
      <c r="B87" s="49" t="str">
        <f>Scrutateur!E87</f>
        <v/>
      </c>
      <c r="C87" s="29"/>
      <c r="D87" s="30"/>
      <c r="E87" s="31"/>
      <c r="F87" s="32"/>
      <c r="G87" s="33"/>
      <c r="H87" s="34"/>
      <c r="I87" s="35"/>
      <c r="J87" s="36"/>
      <c r="K87" s="37"/>
      <c r="L87" s="38"/>
      <c r="M87" s="62"/>
      <c r="N87" s="63"/>
    </row>
    <row r="88" spans="1:14" ht="15" customHeight="1" x14ac:dyDescent="0.2">
      <c r="A88" s="28"/>
      <c r="B88" s="49" t="str">
        <f>Scrutateur!E88</f>
        <v/>
      </c>
      <c r="C88" s="29"/>
      <c r="D88" s="30"/>
      <c r="E88" s="31"/>
      <c r="F88" s="32"/>
      <c r="G88" s="33"/>
      <c r="H88" s="34"/>
      <c r="I88" s="35"/>
      <c r="J88" s="36"/>
      <c r="K88" s="37"/>
      <c r="L88" s="38"/>
      <c r="M88" s="62"/>
      <c r="N88" s="63"/>
    </row>
    <row r="89" spans="1:14" ht="15" customHeight="1" x14ac:dyDescent="0.2">
      <c r="A89" s="28"/>
      <c r="B89" s="49" t="str">
        <f>Scrutateur!E89</f>
        <v/>
      </c>
      <c r="C89" s="29"/>
      <c r="D89" s="30"/>
      <c r="E89" s="31"/>
      <c r="F89" s="32"/>
      <c r="G89" s="33"/>
      <c r="H89" s="34"/>
      <c r="I89" s="35"/>
      <c r="J89" s="36"/>
      <c r="K89" s="37"/>
      <c r="L89" s="38"/>
      <c r="M89" s="62"/>
      <c r="N89" s="63"/>
    </row>
    <row r="90" spans="1:14" ht="15" customHeight="1" x14ac:dyDescent="0.2">
      <c r="A90" s="28"/>
      <c r="B90" s="49" t="str">
        <f>Scrutateur!E90</f>
        <v/>
      </c>
      <c r="C90" s="29"/>
      <c r="D90" s="30"/>
      <c r="E90" s="31"/>
      <c r="F90" s="32"/>
      <c r="G90" s="33"/>
      <c r="H90" s="34"/>
      <c r="I90" s="35"/>
      <c r="J90" s="36"/>
      <c r="K90" s="37"/>
      <c r="L90" s="38"/>
      <c r="M90" s="62"/>
      <c r="N90" s="63"/>
    </row>
    <row r="91" spans="1:14" ht="15" customHeight="1" x14ac:dyDescent="0.2">
      <c r="A91" s="28"/>
      <c r="B91" s="49" t="str">
        <f>Scrutateur!E91</f>
        <v/>
      </c>
      <c r="C91" s="29"/>
      <c r="D91" s="30"/>
      <c r="E91" s="31"/>
      <c r="F91" s="32"/>
      <c r="G91" s="33"/>
      <c r="H91" s="34"/>
      <c r="I91" s="35"/>
      <c r="J91" s="36"/>
      <c r="K91" s="37"/>
      <c r="L91" s="38"/>
      <c r="M91" s="62"/>
      <c r="N91" s="63"/>
    </row>
    <row r="92" spans="1:14" ht="15" customHeight="1" x14ac:dyDescent="0.2">
      <c r="A92" s="28"/>
      <c r="B92" s="49" t="str">
        <f>Scrutateur!E92</f>
        <v/>
      </c>
      <c r="C92" s="29"/>
      <c r="D92" s="30"/>
      <c r="E92" s="31"/>
      <c r="F92" s="32"/>
      <c r="G92" s="33"/>
      <c r="H92" s="34"/>
      <c r="I92" s="35"/>
      <c r="J92" s="36"/>
      <c r="K92" s="37"/>
      <c r="L92" s="38"/>
      <c r="M92" s="62"/>
      <c r="N92" s="63"/>
    </row>
    <row r="93" spans="1:14" ht="15" customHeight="1" x14ac:dyDescent="0.2">
      <c r="A93" s="28"/>
      <c r="B93" s="49" t="str">
        <f>Scrutateur!E93</f>
        <v/>
      </c>
      <c r="C93" s="29"/>
      <c r="D93" s="30"/>
      <c r="E93" s="31"/>
      <c r="F93" s="32"/>
      <c r="G93" s="33"/>
      <c r="H93" s="34"/>
      <c r="I93" s="35"/>
      <c r="J93" s="36"/>
      <c r="K93" s="37"/>
      <c r="L93" s="38"/>
      <c r="M93" s="62"/>
      <c r="N93" s="63"/>
    </row>
    <row r="94" spans="1:14" ht="15" customHeight="1" x14ac:dyDescent="0.2">
      <c r="A94" s="28"/>
      <c r="B94" s="49" t="str">
        <f>Scrutateur!E94</f>
        <v/>
      </c>
      <c r="C94" s="29"/>
      <c r="D94" s="30"/>
      <c r="E94" s="31"/>
      <c r="F94" s="32"/>
      <c r="G94" s="33"/>
      <c r="H94" s="34"/>
      <c r="I94" s="35"/>
      <c r="J94" s="36"/>
      <c r="K94" s="37"/>
      <c r="L94" s="38"/>
      <c r="M94" s="62"/>
      <c r="N94" s="63"/>
    </row>
    <row r="95" spans="1:14" ht="15" customHeight="1" x14ac:dyDescent="0.2">
      <c r="A95" s="28"/>
      <c r="B95" s="49" t="str">
        <f>Scrutateur!E95</f>
        <v/>
      </c>
      <c r="C95" s="29"/>
      <c r="D95" s="30"/>
      <c r="E95" s="31"/>
      <c r="F95" s="32"/>
      <c r="G95" s="33"/>
      <c r="H95" s="34"/>
      <c r="I95" s="35"/>
      <c r="J95" s="36"/>
      <c r="K95" s="37"/>
      <c r="L95" s="38"/>
      <c r="M95" s="62"/>
      <c r="N95" s="63"/>
    </row>
    <row r="96" spans="1:14" ht="15" customHeight="1" x14ac:dyDescent="0.2">
      <c r="A96" s="28"/>
      <c r="B96" s="49" t="str">
        <f>Scrutateur!E96</f>
        <v/>
      </c>
      <c r="C96" s="29"/>
      <c r="D96" s="30"/>
      <c r="E96" s="31"/>
      <c r="F96" s="32"/>
      <c r="G96" s="33"/>
      <c r="H96" s="34"/>
      <c r="I96" s="35"/>
      <c r="J96" s="36"/>
      <c r="K96" s="37"/>
      <c r="L96" s="38"/>
      <c r="M96" s="62"/>
      <c r="N96" s="63"/>
    </row>
    <row r="97" spans="1:14" ht="15" customHeight="1" x14ac:dyDescent="0.2">
      <c r="A97" s="28"/>
      <c r="B97" s="49" t="str">
        <f>Scrutateur!E97</f>
        <v/>
      </c>
      <c r="C97" s="29"/>
      <c r="D97" s="30"/>
      <c r="E97" s="31"/>
      <c r="F97" s="32"/>
      <c r="G97" s="33"/>
      <c r="H97" s="34"/>
      <c r="I97" s="35"/>
      <c r="J97" s="36"/>
      <c r="K97" s="37"/>
      <c r="L97" s="38"/>
      <c r="M97" s="62"/>
      <c r="N97" s="63"/>
    </row>
    <row r="98" spans="1:14" ht="15" customHeight="1" x14ac:dyDescent="0.2">
      <c r="A98" s="28"/>
      <c r="B98" s="49" t="str">
        <f>Scrutateur!E98</f>
        <v/>
      </c>
      <c r="C98" s="29"/>
      <c r="D98" s="30"/>
      <c r="E98" s="31"/>
      <c r="F98" s="32"/>
      <c r="G98" s="33"/>
      <c r="H98" s="34"/>
      <c r="I98" s="35"/>
      <c r="J98" s="36"/>
      <c r="K98" s="37"/>
      <c r="L98" s="38"/>
      <c r="M98" s="62"/>
      <c r="N98" s="63"/>
    </row>
    <row r="99" spans="1:14" ht="15" customHeight="1" x14ac:dyDescent="0.2">
      <c r="A99" s="28"/>
      <c r="B99" s="49" t="str">
        <f>Scrutateur!E99</f>
        <v/>
      </c>
      <c r="C99" s="29"/>
      <c r="D99" s="30"/>
      <c r="E99" s="31"/>
      <c r="F99" s="32"/>
      <c r="G99" s="33"/>
      <c r="H99" s="34"/>
      <c r="I99" s="35"/>
      <c r="J99" s="36"/>
      <c r="K99" s="37"/>
      <c r="L99" s="38"/>
      <c r="M99" s="62"/>
      <c r="N99" s="63"/>
    </row>
    <row r="100" spans="1:14" ht="15" customHeight="1" x14ac:dyDescent="0.2">
      <c r="A100" s="28"/>
      <c r="B100" s="49" t="str">
        <f>Scrutateur!E100</f>
        <v/>
      </c>
      <c r="C100" s="29"/>
      <c r="D100" s="30"/>
      <c r="E100" s="31"/>
      <c r="F100" s="32"/>
      <c r="G100" s="33"/>
      <c r="H100" s="34"/>
      <c r="I100" s="35"/>
      <c r="J100" s="36"/>
      <c r="K100" s="37"/>
      <c r="L100" s="38"/>
      <c r="M100" s="62"/>
      <c r="N100" s="63"/>
    </row>
    <row r="101" spans="1:14" ht="15" customHeight="1" x14ac:dyDescent="0.2">
      <c r="A101" s="28"/>
      <c r="B101" s="49" t="str">
        <f>Scrutateur!E101</f>
        <v/>
      </c>
      <c r="C101" s="29"/>
      <c r="D101" s="30"/>
      <c r="E101" s="31"/>
      <c r="F101" s="32"/>
      <c r="G101" s="33"/>
      <c r="H101" s="34"/>
      <c r="I101" s="35"/>
      <c r="J101" s="36"/>
      <c r="K101" s="37"/>
      <c r="L101" s="38"/>
      <c r="M101" s="62"/>
      <c r="N101" s="63"/>
    </row>
    <row r="102" spans="1:14" ht="15" customHeight="1" thickBot="1" x14ac:dyDescent="0.25">
      <c r="A102" s="39"/>
      <c r="B102" s="56" t="str">
        <f>Scrutateur!E102</f>
        <v/>
      </c>
      <c r="C102" s="40"/>
      <c r="D102" s="41"/>
      <c r="E102" s="42"/>
      <c r="F102" s="43"/>
      <c r="G102" s="44"/>
      <c r="H102" s="45"/>
      <c r="I102" s="46"/>
      <c r="J102" s="47"/>
      <c r="K102" s="57"/>
      <c r="L102" s="48"/>
      <c r="M102" s="64"/>
      <c r="N102" s="65"/>
    </row>
  </sheetData>
  <sheetProtection algorithmName="SHA-512" hashValue="c8fiYj6bxUjRGz7vzkrObQ4imF7/ofznt/XSHiT9+2ZNKoMi7+pkhIS0P7FIzVQKvIr175/lEe3iz3NM1Y/onQ==" saltValue="e4rXhbQIao0PCCGXcRLnOg==" spinCount="100000" sheet="1" objects="1" scenarios="1" selectLockedCells="1"/>
  <conditionalFormatting sqref="N3:N102">
    <cfRule type="expression" priority="2">
      <formula>AND($M3="OUI",$N3="")</formula>
    </cfRule>
  </conditionalFormatting>
  <dataValidations count="5">
    <dataValidation allowBlank="1" showErrorMessage="1" sqref="F103:F1048576 E2:E102 J2:J1048576" xr:uid="{FAC9E2CB-62C0-4C25-9220-3E52888E9333}"/>
    <dataValidation type="list" allowBlank="1" showInputMessage="1" showErrorMessage="1" errorTitle="Catégorie non valide" error="Catégorie non valide" sqref="J3:J102 E3:E102" xr:uid="{6356B97E-5CCD-4D3C-ADEE-E766B87446AF}">
      <formula1>Liste_Catég.</formula1>
    </dataValidation>
    <dataValidation type="custom" allowBlank="1" showInputMessage="1" showErrorMessage="1" error="La valeur doit être entrée totalement en MAJUSCULES !" sqref="C3:C102 H3:H102" xr:uid="{DC6ABBC5-6965-49B8-B1F5-61277AA02FC3}">
      <formula1>OR(C3="",EXACT(C3,UPPER(C3)))</formula1>
    </dataValidation>
    <dataValidation type="list" allowBlank="1" showInputMessage="1" sqref="M3:M102" xr:uid="{645FFE6C-5473-4D24-8263-4EF493FBD23C}">
      <formula1>"OUI"</formula1>
    </dataValidation>
    <dataValidation type="list" allowBlank="1" showInputMessage="1" showErrorMessage="1" sqref="N3:N102" xr:uid="{FEBB563B-8477-48EB-AD16-DDC73C0A64FE}">
      <formula1>INDIRECT(IF($M3="OUI","ListePara",""))</formula1>
    </dataValidation>
  </dataValidations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D1F7B51-3633-4B26-A4BC-9FFA120E10EA}">
          <x14:formula1>
            <xm:f>Listes!$C$2</xm:f>
          </x14:formula1>
          <xm:sqref>G3:G102 L3:L102</xm:sqref>
        </x14:dataValidation>
        <x14:dataValidation type="list" allowBlank="1" showInputMessage="1" showErrorMessage="1" xr:uid="{4AC3AAA5-CD92-464E-B4E7-88CFA70BA783}">
          <x14:formula1>
            <xm:f>Listes!$D$2:$D$3</xm:f>
          </x14:formula1>
          <xm:sqref>F3:F102 K3:K102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B06AE-5B4D-4CAE-8F36-01FED1E2A16D}">
  <dimension ref="A1:G22"/>
  <sheetViews>
    <sheetView workbookViewId="0">
      <selection activeCell="E2" sqref="E2"/>
    </sheetView>
  </sheetViews>
  <sheetFormatPr baseColWidth="10" defaultRowHeight="12.75" x14ac:dyDescent="0.2"/>
  <cols>
    <col min="1" max="1" width="50.28515625" bestFit="1" customWidth="1"/>
  </cols>
  <sheetData>
    <row r="1" spans="1:7" ht="13.5" thickBot="1" x14ac:dyDescent="0.25">
      <c r="A1" s="7" t="s">
        <v>17</v>
      </c>
      <c r="C1" t="s">
        <v>2</v>
      </c>
      <c r="D1" t="s">
        <v>42</v>
      </c>
      <c r="E1" t="s">
        <v>0</v>
      </c>
      <c r="G1" s="27" t="s">
        <v>45</v>
      </c>
    </row>
    <row r="2" spans="1:7" x14ac:dyDescent="0.2">
      <c r="A2" s="8" t="s">
        <v>18</v>
      </c>
      <c r="B2">
        <v>5</v>
      </c>
      <c r="C2" t="s">
        <v>2</v>
      </c>
      <c r="D2" t="s">
        <v>43</v>
      </c>
      <c r="E2" s="12">
        <f ca="1">DATE(IF(MONTH(TODAY())&lt;9, YEAR(TODAY()), YEAR(TODAY())+1), 8, 31)</f>
        <v>46265</v>
      </c>
      <c r="G2" t="s">
        <v>47</v>
      </c>
    </row>
    <row r="3" spans="1:7" x14ac:dyDescent="0.2">
      <c r="A3" s="8" t="s">
        <v>19</v>
      </c>
      <c r="B3">
        <v>6</v>
      </c>
      <c r="D3" t="s">
        <v>44</v>
      </c>
      <c r="E3" s="12"/>
      <c r="G3" t="s">
        <v>48</v>
      </c>
    </row>
    <row r="4" spans="1:7" x14ac:dyDescent="0.2">
      <c r="A4" s="8" t="s">
        <v>20</v>
      </c>
      <c r="B4">
        <v>7</v>
      </c>
      <c r="G4" t="s">
        <v>49</v>
      </c>
    </row>
    <row r="5" spans="1:7" x14ac:dyDescent="0.2">
      <c r="A5" s="8" t="s">
        <v>21</v>
      </c>
      <c r="B5">
        <v>8</v>
      </c>
      <c r="G5" t="s">
        <v>50</v>
      </c>
    </row>
    <row r="6" spans="1:7" x14ac:dyDescent="0.2">
      <c r="A6" s="8" t="s">
        <v>22</v>
      </c>
      <c r="B6">
        <v>9</v>
      </c>
      <c r="G6" t="s">
        <v>51</v>
      </c>
    </row>
    <row r="7" spans="1:7" x14ac:dyDescent="0.2">
      <c r="A7" s="8" t="s">
        <v>23</v>
      </c>
      <c r="B7">
        <v>10</v>
      </c>
      <c r="G7" t="s">
        <v>54</v>
      </c>
    </row>
    <row r="8" spans="1:7" x14ac:dyDescent="0.2">
      <c r="A8" s="8" t="s">
        <v>24</v>
      </c>
      <c r="B8">
        <v>1</v>
      </c>
      <c r="G8" t="s">
        <v>52</v>
      </c>
    </row>
    <row r="9" spans="1:7" x14ac:dyDescent="0.2">
      <c r="A9" s="8" t="s">
        <v>25</v>
      </c>
      <c r="B9">
        <v>2</v>
      </c>
      <c r="G9" t="s">
        <v>53</v>
      </c>
    </row>
    <row r="10" spans="1:7" x14ac:dyDescent="0.2">
      <c r="A10" s="8" t="s">
        <v>26</v>
      </c>
      <c r="B10">
        <v>3</v>
      </c>
      <c r="G10" t="s">
        <v>55</v>
      </c>
    </row>
    <row r="11" spans="1:7" x14ac:dyDescent="0.2">
      <c r="A11" s="8" t="s">
        <v>27</v>
      </c>
      <c r="B11">
        <v>4</v>
      </c>
    </row>
    <row r="12" spans="1:7" x14ac:dyDescent="0.2">
      <c r="A12" s="8" t="s">
        <v>28</v>
      </c>
      <c r="B12">
        <v>16</v>
      </c>
    </row>
    <row r="13" spans="1:7" x14ac:dyDescent="0.2">
      <c r="A13" s="8" t="s">
        <v>29</v>
      </c>
      <c r="B13">
        <v>12</v>
      </c>
    </row>
    <row r="14" spans="1:7" x14ac:dyDescent="0.2">
      <c r="A14" s="8" t="s">
        <v>30</v>
      </c>
      <c r="B14">
        <v>11</v>
      </c>
    </row>
    <row r="15" spans="1:7" x14ac:dyDescent="0.2">
      <c r="A15" s="8" t="s">
        <v>31</v>
      </c>
      <c r="B15">
        <v>15</v>
      </c>
    </row>
    <row r="16" spans="1:7" x14ac:dyDescent="0.2">
      <c r="A16" s="8" t="s">
        <v>32</v>
      </c>
      <c r="B16">
        <v>17</v>
      </c>
    </row>
    <row r="17" spans="1:2" x14ac:dyDescent="0.2">
      <c r="A17" s="8" t="s">
        <v>33</v>
      </c>
      <c r="B17">
        <v>19</v>
      </c>
    </row>
    <row r="18" spans="1:2" x14ac:dyDescent="0.2">
      <c r="A18" s="8" t="s">
        <v>34</v>
      </c>
      <c r="B18">
        <v>18</v>
      </c>
    </row>
    <row r="19" spans="1:2" x14ac:dyDescent="0.2">
      <c r="A19" s="8" t="s">
        <v>35</v>
      </c>
      <c r="B19">
        <v>13</v>
      </c>
    </row>
    <row r="20" spans="1:2" x14ac:dyDescent="0.2">
      <c r="A20" s="8" t="s">
        <v>36</v>
      </c>
      <c r="B20">
        <v>14</v>
      </c>
    </row>
    <row r="21" spans="1:2" x14ac:dyDescent="0.2">
      <c r="A21" s="9" t="s">
        <v>37</v>
      </c>
    </row>
    <row r="22" spans="1:2" ht="13.5" thickBot="1" x14ac:dyDescent="0.25">
      <c r="A22" s="10" t="s">
        <v>38</v>
      </c>
    </row>
  </sheetData>
  <sheetProtection algorithmName="SHA-512" hashValue="lGe9yM6lIUpoWjfffvLrWSxWQ63dkTLTa8VrG+OREAP8/BP6HB8woQi3Scob+wXISYEoFftP0kYIiiYRVS658g==" saltValue="KHUePkcZIhspwKM4EVPABA==" spinCount="100000" sheet="1" objects="1" scenarios="1" selectLockedCell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80C01-2245-4EED-B22C-02E41DADDDE7}">
  <dimension ref="A1:E102"/>
  <sheetViews>
    <sheetView workbookViewId="0">
      <selection activeCell="G28" sqref="G28"/>
    </sheetView>
  </sheetViews>
  <sheetFormatPr baseColWidth="10" defaultRowHeight="12.75" x14ac:dyDescent="0.2"/>
  <cols>
    <col min="1" max="1" width="6.42578125" style="1" bestFit="1" customWidth="1"/>
    <col min="2" max="2" width="12.7109375" style="11" customWidth="1"/>
    <col min="3" max="3" width="6.42578125" style="1" bestFit="1" customWidth="1"/>
    <col min="4" max="4" width="11.7109375" style="1" customWidth="1"/>
    <col min="5" max="5" width="28.42578125" customWidth="1"/>
  </cols>
  <sheetData>
    <row r="1" spans="1:5" ht="16.5" thickBot="1" x14ac:dyDescent="0.25">
      <c r="A1" s="25"/>
      <c r="B1" s="25"/>
      <c r="C1" s="26"/>
      <c r="D1" s="26"/>
      <c r="E1" s="4"/>
    </row>
    <row r="2" spans="1:5" ht="30.75" thickBot="1" x14ac:dyDescent="0.25">
      <c r="A2" s="14" t="s">
        <v>56</v>
      </c>
      <c r="B2" s="15" t="s">
        <v>58</v>
      </c>
      <c r="C2" s="20" t="s">
        <v>57</v>
      </c>
      <c r="D2" s="21" t="s">
        <v>59</v>
      </c>
      <c r="E2" s="76" t="s">
        <v>60</v>
      </c>
    </row>
    <row r="3" spans="1:5" ht="13.5" thickTop="1" x14ac:dyDescent="0.2">
      <c r="A3" s="17" t="str">
        <f>IF(ISBLANK(Candidats!E3),"",DATEDIF(Candidats!E3,Listes!$E$2,"y"))</f>
        <v/>
      </c>
      <c r="B3" s="18" t="str">
        <f>IF(ISBLANK(Candidats!E3),"",IF(Scrutateur!A3&lt;10,"Benjamin",IF(Scrutateur!A3&lt;14,"Junior 1",IF(Scrutateur!A3&lt;18,"Junior 2",IF(Scrutateur!A3&lt;40,"Adulte",IF(Scrutateur!A3&lt;50,"Master 40+","Master 50+"))))))</f>
        <v/>
      </c>
      <c r="C3" s="23" t="str">
        <f>IF(ISBLANK(Candidats!J3),"",DATEDIF(Candidats!J3,Listes!$E$2,"y"))</f>
        <v/>
      </c>
      <c r="D3" s="24" t="str">
        <f>IF(ISBLANK(Candidats!J3),"",IF(Scrutateur!C3&lt;10,"Benjamin",IF(Scrutateur!C3&lt;14,"Junior 1",IF(Scrutateur!C3&lt;18,"Junior 2",IF(Scrutateur!C3&lt;40,"Adulte",IF(Scrutateur!C3&lt;50,"Master 40+","Master 50+"))))))</f>
        <v/>
      </c>
      <c r="E3" s="77" t="str">
        <f>IF(Candidats!$M3="OUI",IF(Candidats!$N3="","","Parapole - "&amp;Candidats!$N3),IF(Candidats!$C3="","",IF(Candidats!$H3="",IF(OR($B3="Benjamin",$B3="Junior 1",$B3="Junior 2"),$B3,IF(Candidats!$F3="","",$B3&amp;" "&amp;Candidats!$F3)),IF(AND(COUNTIF($B3,"*Junior*")&gt;0,COUNTIF($D3,"*Junior*")&gt;0),"Double Juniors","Double Adultes"))))</f>
        <v/>
      </c>
    </row>
    <row r="4" spans="1:5" x14ac:dyDescent="0.2">
      <c r="A4" s="17" t="str">
        <f>IF(ISBLANK(Candidats!E4),"",DATEDIF(Candidats!E4,Listes!$E$2,"y"))</f>
        <v/>
      </c>
      <c r="B4" s="18" t="str">
        <f>IF(ISBLANK(Candidats!E4),"",IF(Scrutateur!A4&lt;10,"Benjamin",IF(Scrutateur!A4&lt;14,"Junior 1",IF(Scrutateur!A4&lt;18,"Junior 2",IF(Scrutateur!A4&lt;40,"Adulte",IF(Scrutateur!A4&lt;50,"Master 40+","Master 50+"))))))</f>
        <v/>
      </c>
      <c r="C4" s="23" t="str">
        <f>IF(ISBLANK(Candidats!J4),"",DATEDIF(Candidats!J4,Listes!$E$2,"y"))</f>
        <v/>
      </c>
      <c r="D4" s="24" t="str">
        <f>IF(ISBLANK(Candidats!J4),"",IF(Scrutateur!C4&lt;10,"Benjamin",IF(Scrutateur!C4&lt;14,"Junior 1",IF(Scrutateur!C4&lt;18,"Junior 2",IF(Scrutateur!C4&lt;40,"Adulte",IF(Scrutateur!C4&lt;50,"Master 40+","Master 50+"))))))</f>
        <v/>
      </c>
      <c r="E4" s="77" t="str">
        <f>IF(Candidats!$M4="OUI",IF(Candidats!$N4="","","Parapole - "&amp;Candidats!$N4),IF(Candidats!$C4="","",IF(Candidats!$H4="",IF(OR($B4="Benjamin",$B4="Junior 1",$B4="Junior 2"),$B4,IF(Candidats!$F4="","",$B4&amp;" "&amp;Candidats!$F4)),IF(AND(COUNTIF($B4,"*Junior*")&gt;0,COUNTIF($D4,"*Junior*")&gt;0),"Double Juniors","Double Adultes"))))</f>
        <v/>
      </c>
    </row>
    <row r="5" spans="1:5" x14ac:dyDescent="0.2">
      <c r="A5" s="17" t="str">
        <f>IF(ISBLANK(Candidats!E5),"",DATEDIF(Candidats!E5,Listes!$E$2,"y"))</f>
        <v/>
      </c>
      <c r="B5" s="18" t="str">
        <f>IF(ISBLANK(Candidats!E5),"",IF(Scrutateur!A5&lt;10,"Benjamin",IF(Scrutateur!A5&lt;14,"Junior 1",IF(Scrutateur!A5&lt;18,"Junior 2",IF(Scrutateur!A5&lt;40,"Adulte",IF(Scrutateur!A5&lt;50,"Master 40+","Master 50+"))))))</f>
        <v/>
      </c>
      <c r="C5" s="23" t="str">
        <f>IF(ISBLANK(Candidats!J5),"",DATEDIF(Candidats!J5,Listes!$E$2,"y"))</f>
        <v/>
      </c>
      <c r="D5" s="24" t="str">
        <f>IF(ISBLANK(Candidats!J5),"",IF(Scrutateur!C5&lt;10,"Benjamin",IF(Scrutateur!C5&lt;14,"Junior 1",IF(Scrutateur!C5&lt;18,"Junior 2",IF(Scrutateur!C5&lt;40,"Adulte",IF(Scrutateur!C5&lt;50,"Master 40+","Master 50+"))))))</f>
        <v/>
      </c>
      <c r="E5" s="77" t="str">
        <f>IF(Candidats!$M5="OUI",IF(Candidats!$N5="","","Parapole - "&amp;Candidats!$N5),IF(Candidats!$C5="","",IF(Candidats!$H5="",IF(OR($B5="Benjamin",$B5="Junior 1",$B5="Junior 2"),$B5,IF(Candidats!$F5="","",$B5&amp;" "&amp;Candidats!$F5)),IF(AND(COUNTIF($B5,"*Junior*")&gt;0,COUNTIF($D5,"*Junior*")&gt;0),"Double Juniors","Double Adultes"))))</f>
        <v/>
      </c>
    </row>
    <row r="6" spans="1:5" x14ac:dyDescent="0.2">
      <c r="A6" s="17" t="str">
        <f>IF(ISBLANK(Candidats!E6),"",DATEDIF(Candidats!E6,Listes!$E$2,"y"))</f>
        <v/>
      </c>
      <c r="B6" s="18" t="str">
        <f>IF(ISBLANK(Candidats!E6),"",IF(Scrutateur!A6&lt;10,"Benjamin",IF(Scrutateur!A6&lt;14,"Junior 1",IF(Scrutateur!A6&lt;18,"Junior 2",IF(Scrutateur!A6&lt;40,"Adulte",IF(Scrutateur!A6&lt;50,"Master 40+","Master 50+"))))))</f>
        <v/>
      </c>
      <c r="C6" s="23" t="str">
        <f>IF(ISBLANK(Candidats!J6),"",DATEDIF(Candidats!J6,Listes!$E$2,"y"))</f>
        <v/>
      </c>
      <c r="D6" s="24" t="str">
        <f>IF(ISBLANK(Candidats!J6),"",IF(Scrutateur!C6&lt;10,"Benjamin",IF(Scrutateur!C6&lt;14,"Junior 1",IF(Scrutateur!C6&lt;18,"Junior 2",IF(Scrutateur!C6&lt;40,"Adulte",IF(Scrutateur!C6&lt;50,"Master 40+","Master 50+"))))))</f>
        <v/>
      </c>
      <c r="E6" s="77" t="str">
        <f>IF(Candidats!$M6="OUI",IF(Candidats!$N6="","","Parapole - "&amp;Candidats!$N6),IF(Candidats!$C6="","",IF(Candidats!$H6="",IF(OR($B6="Benjamin",$B6="Junior 1",$B6="Junior 2"),$B6,IF(Candidats!$F6="","",$B6&amp;" "&amp;Candidats!$F6)),IF(AND(COUNTIF($B6,"*Junior*")&gt;0,COUNTIF($D6,"*Junior*")&gt;0),"Double Juniors","Double Adultes"))))</f>
        <v/>
      </c>
    </row>
    <row r="7" spans="1:5" x14ac:dyDescent="0.2">
      <c r="A7" s="17" t="str">
        <f>IF(ISBLANK(Candidats!E7),"",DATEDIF(Candidats!E7,Listes!$E$2,"y"))</f>
        <v/>
      </c>
      <c r="B7" s="18" t="str">
        <f>IF(ISBLANK(Candidats!E7),"",IF(Scrutateur!A7&lt;10,"Benjamin",IF(Scrutateur!A7&lt;14,"Junior 1",IF(Scrutateur!A7&lt;18,"Junior 2",IF(Scrutateur!A7&lt;40,"Adulte",IF(Scrutateur!A7&lt;50,"Master 40+","Master 50+"))))))</f>
        <v/>
      </c>
      <c r="C7" s="23" t="str">
        <f>IF(ISBLANK(Candidats!J7),"",DATEDIF(Candidats!J7,Listes!$E$2,"y"))</f>
        <v/>
      </c>
      <c r="D7" s="24" t="str">
        <f>IF(ISBLANK(Candidats!J7),"",IF(Scrutateur!C7&lt;10,"Benjamin",IF(Scrutateur!C7&lt;14,"Junior 1",IF(Scrutateur!C7&lt;18,"Junior 2",IF(Scrutateur!C7&lt;40,"Adulte",IF(Scrutateur!C7&lt;50,"Master 40+","Master 50+"))))))</f>
        <v/>
      </c>
      <c r="E7" s="77" t="str">
        <f>IF(Candidats!$M7="OUI",IF(Candidats!$N7="","","Parapole - "&amp;Candidats!$N7),IF(Candidats!$C7="","",IF(Candidats!$H7="",IF(OR($B7="Benjamin",$B7="Junior 1",$B7="Junior 2"),$B7,IF(Candidats!$F7="","",$B7&amp;" "&amp;Candidats!$F7)),IF(AND(COUNTIF($B7,"*Junior*")&gt;0,COUNTIF($D7,"*Junior*")&gt;0),"Double Juniors","Double Adultes"))))</f>
        <v/>
      </c>
    </row>
    <row r="8" spans="1:5" x14ac:dyDescent="0.2">
      <c r="A8" s="17" t="str">
        <f>IF(ISBLANK(Candidats!E8),"",DATEDIF(Candidats!E8,Listes!$E$2,"y"))</f>
        <v/>
      </c>
      <c r="B8" s="18" t="str">
        <f>IF(ISBLANK(Candidats!E8),"",IF(Scrutateur!A8&lt;10,"Benjamin",IF(Scrutateur!A8&lt;14,"Junior 1",IF(Scrutateur!A8&lt;18,"Junior 2",IF(Scrutateur!A8&lt;40,"Adulte",IF(Scrutateur!A8&lt;50,"Master 40+","Master 50+"))))))</f>
        <v/>
      </c>
      <c r="C8" s="23" t="str">
        <f>IF(ISBLANK(Candidats!J8),"",DATEDIF(Candidats!J8,Listes!$E$2,"y"))</f>
        <v/>
      </c>
      <c r="D8" s="24" t="str">
        <f>IF(ISBLANK(Candidats!J8),"",IF(Scrutateur!C8&lt;10,"Benjamin",IF(Scrutateur!C8&lt;14,"Junior 1",IF(Scrutateur!C8&lt;18,"Junior 2",IF(Scrutateur!C8&lt;40,"Adulte",IF(Scrutateur!C8&lt;50,"Master 40+","Master 50+"))))))</f>
        <v/>
      </c>
      <c r="E8" s="77" t="str">
        <f>IF(Candidats!$M8="OUI",IF(Candidats!$N8="","","Parapole - "&amp;Candidats!$N8),IF(Candidats!$C8="","",IF(Candidats!$H8="",IF(OR($B8="Benjamin",$B8="Junior 1",$B8="Junior 2"),$B8,IF(Candidats!$F8="","",$B8&amp;" "&amp;Candidats!$F8)),IF(AND(COUNTIF($B8,"*Junior*")&gt;0,COUNTIF($D8,"*Junior*")&gt;0),"Double Juniors","Double Adultes"))))</f>
        <v/>
      </c>
    </row>
    <row r="9" spans="1:5" x14ac:dyDescent="0.2">
      <c r="A9" s="17" t="str">
        <f>IF(ISBLANK(Candidats!E9),"",DATEDIF(Candidats!E9,Listes!$E$2,"y"))</f>
        <v/>
      </c>
      <c r="B9" s="18" t="str">
        <f>IF(ISBLANK(Candidats!E9),"",IF(Scrutateur!A9&lt;10,"Benjamin",IF(Scrutateur!A9&lt;14,"Junior 1",IF(Scrutateur!A9&lt;18,"Junior 2",IF(Scrutateur!A9&lt;40,"Adulte",IF(Scrutateur!A9&lt;50,"Master 40+","Master 50+"))))))</f>
        <v/>
      </c>
      <c r="C9" s="23" t="str">
        <f>IF(ISBLANK(Candidats!J9),"",DATEDIF(Candidats!J9,Listes!$E$2,"y"))</f>
        <v/>
      </c>
      <c r="D9" s="24" t="str">
        <f>IF(ISBLANK(Candidats!J9),"",IF(Scrutateur!C9&lt;10,"Benjamin",IF(Scrutateur!C9&lt;14,"Junior 1",IF(Scrutateur!C9&lt;18,"Junior 2",IF(Scrutateur!C9&lt;40,"Adulte",IF(Scrutateur!C9&lt;50,"Master 40+","Master 50+"))))))</f>
        <v/>
      </c>
      <c r="E9" s="77" t="str">
        <f>IF(Candidats!$M9="OUI",IF(Candidats!$N9="","","Parapole - "&amp;Candidats!$N9),IF(Candidats!$C9="","",IF(Candidats!$H9="",IF(OR($B9="Benjamin",$B9="Junior 1",$B9="Junior 2"),$B9,IF(Candidats!$F9="","",$B9&amp;" "&amp;Candidats!$F9)),IF(AND(COUNTIF($B9,"*Junior*")&gt;0,COUNTIF($D9,"*Junior*")&gt;0),"Double Juniors","Double Adultes"))))</f>
        <v/>
      </c>
    </row>
    <row r="10" spans="1:5" x14ac:dyDescent="0.2">
      <c r="A10" s="17" t="str">
        <f>IF(ISBLANK(Candidats!E10),"",DATEDIF(Candidats!E10,Listes!$E$2,"y"))</f>
        <v/>
      </c>
      <c r="B10" s="18" t="str">
        <f>IF(ISBLANK(Candidats!E10),"",IF(Scrutateur!A10&lt;10,"Benjamin",IF(Scrutateur!A10&lt;14,"Junior 1",IF(Scrutateur!A10&lt;18,"Junior 2",IF(Scrutateur!A10&lt;40,"Adulte",IF(Scrutateur!A10&lt;50,"Master 40+","Master 50+"))))))</f>
        <v/>
      </c>
      <c r="C10" s="23" t="str">
        <f>IF(ISBLANK(Candidats!J10),"",DATEDIF(Candidats!J10,Listes!$E$2,"y"))</f>
        <v/>
      </c>
      <c r="D10" s="24" t="str">
        <f>IF(ISBLANK(Candidats!J10),"",IF(Scrutateur!C10&lt;10,"Benjamin",IF(Scrutateur!C10&lt;14,"Junior 1",IF(Scrutateur!C10&lt;18,"Junior 2",IF(Scrutateur!C10&lt;40,"Adulte",IF(Scrutateur!C10&lt;50,"Master 40+","Master 50+"))))))</f>
        <v/>
      </c>
      <c r="E10" s="77" t="str">
        <f>IF(Candidats!$M10="OUI",IF(Candidats!$N10="","","Parapole - "&amp;Candidats!$N10),IF(Candidats!$C10="","",IF(Candidats!$H10="",IF(OR($B10="Benjamin",$B10="Junior 1",$B10="Junior 2"),$B10,IF(Candidats!$F10="","",$B10&amp;" "&amp;Candidats!$F10)),IF(AND(COUNTIF($B10,"*Junior*")&gt;0,COUNTIF($D10,"*Junior*")&gt;0),"Double Juniors","Double Adultes"))))</f>
        <v/>
      </c>
    </row>
    <row r="11" spans="1:5" x14ac:dyDescent="0.2">
      <c r="A11" s="17" t="str">
        <f>IF(ISBLANK(Candidats!E11),"",DATEDIF(Candidats!E11,Listes!$E$2,"y"))</f>
        <v/>
      </c>
      <c r="B11" s="18" t="str">
        <f>IF(ISBLANK(Candidats!E11),"",IF(Scrutateur!A11&lt;10,"Benjamin",IF(Scrutateur!A11&lt;14,"Junior 1",IF(Scrutateur!A11&lt;18,"Junior 2",IF(Scrutateur!A11&lt;40,"Adulte",IF(Scrutateur!A11&lt;50,"Master 40+","Master 50+"))))))</f>
        <v/>
      </c>
      <c r="C11" s="23" t="str">
        <f>IF(ISBLANK(Candidats!J11),"",DATEDIF(Candidats!J11,Listes!$E$2,"y"))</f>
        <v/>
      </c>
      <c r="D11" s="24" t="str">
        <f>IF(ISBLANK(Candidats!J11),"",IF(Scrutateur!C11&lt;10,"Benjamin",IF(Scrutateur!C11&lt;14,"Junior 1",IF(Scrutateur!C11&lt;18,"Junior 2",IF(Scrutateur!C11&lt;40,"Adulte",IF(Scrutateur!C11&lt;50,"Master 40+","Master 50+"))))))</f>
        <v/>
      </c>
      <c r="E11" s="77" t="str">
        <f>IF(Candidats!$M11="OUI",IF(Candidats!$N11="","","Parapole - "&amp;Candidats!$N11),IF(Candidats!$C11="","",IF(Candidats!$H11="",IF(OR($B11="Benjamin",$B11="Junior 1",$B11="Junior 2"),$B11,IF(Candidats!$F11="","",$B11&amp;" "&amp;Candidats!$F11)),IF(AND(COUNTIF($B11,"*Junior*")&gt;0,COUNTIF($D11,"*Junior*")&gt;0),"Double Juniors","Double Adultes"))))</f>
        <v/>
      </c>
    </row>
    <row r="12" spans="1:5" x14ac:dyDescent="0.2">
      <c r="A12" s="17" t="str">
        <f>IF(ISBLANK(Candidats!E12),"",DATEDIF(Candidats!E12,Listes!$E$2,"y"))</f>
        <v/>
      </c>
      <c r="B12" s="18" t="str">
        <f>IF(ISBLANK(Candidats!E12),"",IF(Scrutateur!A12&lt;10,"Benjamin",IF(Scrutateur!A12&lt;14,"Junior 1",IF(Scrutateur!A12&lt;18,"Junior 2",IF(Scrutateur!A12&lt;40,"Adulte",IF(Scrutateur!A12&lt;50,"Master 40+","Master 50+"))))))</f>
        <v/>
      </c>
      <c r="C12" s="23" t="str">
        <f>IF(ISBLANK(Candidats!J12),"",DATEDIF(Candidats!J12,Listes!$E$2,"y"))</f>
        <v/>
      </c>
      <c r="D12" s="24" t="str">
        <f>IF(ISBLANK(Candidats!J12),"",IF(Scrutateur!C12&lt;10,"Benjamin",IF(Scrutateur!C12&lt;14,"Junior 1",IF(Scrutateur!C12&lt;18,"Junior 2",IF(Scrutateur!C12&lt;40,"Adulte",IF(Scrutateur!C12&lt;50,"Master 40+","Master 50+"))))))</f>
        <v/>
      </c>
      <c r="E12" s="77" t="str">
        <f>IF(Candidats!$M12="OUI",IF(Candidats!$N12="","","Parapole - "&amp;Candidats!$N12),IF(Candidats!$C12="","",IF(Candidats!$H12="",IF(OR($B12="Benjamin",$B12="Junior 1",$B12="Junior 2"),$B12,IF(Candidats!$F12="","",$B12&amp;" "&amp;Candidats!$F12)),IF(AND(COUNTIF($B12,"*Junior*")&gt;0,COUNTIF($D12,"*Junior*")&gt;0),"Double Juniors","Double Adultes"))))</f>
        <v/>
      </c>
    </row>
    <row r="13" spans="1:5" x14ac:dyDescent="0.2">
      <c r="A13" s="17" t="str">
        <f>IF(ISBLANK(Candidats!E13),"",DATEDIF(Candidats!E13,Listes!$E$2,"y"))</f>
        <v/>
      </c>
      <c r="B13" s="18" t="str">
        <f>IF(ISBLANK(Candidats!E13),"",IF(Scrutateur!A13&lt;10,"Benjamin",IF(Scrutateur!A13&lt;14,"Junior 1",IF(Scrutateur!A13&lt;18,"Junior 2",IF(Scrutateur!A13&lt;40,"Adulte",IF(Scrutateur!A13&lt;50,"Master 40+","Master 50+"))))))</f>
        <v/>
      </c>
      <c r="C13" s="23" t="str">
        <f>IF(ISBLANK(Candidats!J13),"",DATEDIF(Candidats!J13,Listes!$E$2,"y"))</f>
        <v/>
      </c>
      <c r="D13" s="24" t="str">
        <f>IF(ISBLANK(Candidats!J13),"",IF(Scrutateur!C13&lt;10,"Benjamin",IF(Scrutateur!C13&lt;14,"Junior 1",IF(Scrutateur!C13&lt;18,"Junior 2",IF(Scrutateur!C13&lt;40,"Adulte",IF(Scrutateur!C13&lt;50,"Master 40+","Master 50+"))))))</f>
        <v/>
      </c>
      <c r="E13" s="77" t="str">
        <f>IF(Candidats!$M13="OUI",IF(Candidats!$N13="","","Parapole - "&amp;Candidats!$N13),IF(Candidats!$C13="","",IF(Candidats!$H13="",IF(OR($B13="Benjamin",$B13="Junior 1",$B13="Junior 2"),$B13,IF(Candidats!$F13="","",$B13&amp;" "&amp;Candidats!$F13)),IF(AND(COUNTIF($B13,"*Junior*")&gt;0,COUNTIF($D13,"*Junior*")&gt;0),"Double Juniors","Double Adultes"))))</f>
        <v/>
      </c>
    </row>
    <row r="14" spans="1:5" x14ac:dyDescent="0.2">
      <c r="A14" s="17" t="str">
        <f>IF(ISBLANK(Candidats!E14),"",DATEDIF(Candidats!E14,Listes!$E$2,"y"))</f>
        <v/>
      </c>
      <c r="B14" s="18" t="str">
        <f>IF(ISBLANK(Candidats!E14),"",IF(Scrutateur!A14&lt;10,"Benjamin",IF(Scrutateur!A14&lt;14,"Junior 1",IF(Scrutateur!A14&lt;18,"Junior 2",IF(Scrutateur!A14&lt;40,"Adulte",IF(Scrutateur!A14&lt;50,"Master 40+","Master 50+"))))))</f>
        <v/>
      </c>
      <c r="C14" s="23" t="str">
        <f>IF(ISBLANK(Candidats!J14),"",DATEDIF(Candidats!J14,Listes!$E$2,"y"))</f>
        <v/>
      </c>
      <c r="D14" s="24" t="str">
        <f>IF(ISBLANK(Candidats!J14),"",IF(Scrutateur!C14&lt;10,"Benjamin",IF(Scrutateur!C14&lt;14,"Junior 1",IF(Scrutateur!C14&lt;18,"Junior 2",IF(Scrutateur!C14&lt;40,"Adulte",IF(Scrutateur!C14&lt;50,"Master 40+","Master 50+"))))))</f>
        <v/>
      </c>
      <c r="E14" s="77" t="str">
        <f>IF(Candidats!$M14="OUI",IF(Candidats!$N14="","","Parapole - "&amp;Candidats!$N14),IF(Candidats!$C14="","",IF(Candidats!$H14="",IF(OR($B14="Benjamin",$B14="Junior 1",$B14="Junior 2"),$B14,IF(Candidats!$F14="","",$B14&amp;" "&amp;Candidats!$F14)),IF(AND(COUNTIF($B14,"*Junior*")&gt;0,COUNTIF($D14,"*Junior*")&gt;0),"Double Juniors","Double Adultes"))))</f>
        <v/>
      </c>
    </row>
    <row r="15" spans="1:5" x14ac:dyDescent="0.2">
      <c r="A15" s="17" t="str">
        <f>IF(ISBLANK(Candidats!E15),"",DATEDIF(Candidats!E15,Listes!$E$2,"y"))</f>
        <v/>
      </c>
      <c r="B15" s="18" t="str">
        <f>IF(ISBLANK(Candidats!E15),"",IF(Scrutateur!A15&lt;10,"Benjamin",IF(Scrutateur!A15&lt;14,"Junior 1",IF(Scrutateur!A15&lt;18,"Junior 2",IF(Scrutateur!A15&lt;40,"Adulte",IF(Scrutateur!A15&lt;50,"Master 40+","Master 50+"))))))</f>
        <v/>
      </c>
      <c r="C15" s="23" t="str">
        <f>IF(ISBLANK(Candidats!J15),"",DATEDIF(Candidats!J15,Listes!$E$2,"y"))</f>
        <v/>
      </c>
      <c r="D15" s="24" t="str">
        <f>IF(ISBLANK(Candidats!J15),"",IF(Scrutateur!C15&lt;10,"Benjamin",IF(Scrutateur!C15&lt;14,"Junior 1",IF(Scrutateur!C15&lt;18,"Junior 2",IF(Scrutateur!C15&lt;40,"Adulte",IF(Scrutateur!C15&lt;50,"Master 40+","Master 50+"))))))</f>
        <v/>
      </c>
      <c r="E15" s="77" t="str">
        <f>IF(Candidats!$M15="OUI",IF(Candidats!$N15="","","Parapole - "&amp;Candidats!$N15),IF(Candidats!$C15="","",IF(Candidats!$H15="",IF(OR($B15="Benjamin",$B15="Junior 1",$B15="Junior 2"),$B15,IF(Candidats!$F15="","",$B15&amp;" "&amp;Candidats!$F15)),IF(AND(COUNTIF($B15,"*Junior*")&gt;0,COUNTIF($D15,"*Junior*")&gt;0),"Double Juniors","Double Adultes"))))</f>
        <v/>
      </c>
    </row>
    <row r="16" spans="1:5" x14ac:dyDescent="0.2">
      <c r="A16" s="17" t="str">
        <f>IF(ISBLANK(Candidats!E16),"",DATEDIF(Candidats!E16,Listes!$E$2,"y"))</f>
        <v/>
      </c>
      <c r="B16" s="18" t="str">
        <f>IF(ISBLANK(Candidats!E16),"",IF(Scrutateur!A16&lt;10,"Benjamin",IF(Scrutateur!A16&lt;14,"Junior 1",IF(Scrutateur!A16&lt;18,"Junior 2",IF(Scrutateur!A16&lt;40,"Adulte",IF(Scrutateur!A16&lt;50,"Master 40+","Master 50+"))))))</f>
        <v/>
      </c>
      <c r="C16" s="23" t="str">
        <f>IF(ISBLANK(Candidats!J16),"",DATEDIF(Candidats!J16,Listes!$E$2,"y"))</f>
        <v/>
      </c>
      <c r="D16" s="24" t="str">
        <f>IF(ISBLANK(Candidats!J16),"",IF(Scrutateur!C16&lt;10,"Benjamin",IF(Scrutateur!C16&lt;14,"Junior 1",IF(Scrutateur!C16&lt;18,"Junior 2",IF(Scrutateur!C16&lt;40,"Adulte",IF(Scrutateur!C16&lt;50,"Master 40+","Master 50+"))))))</f>
        <v/>
      </c>
      <c r="E16" s="77" t="str">
        <f>IF(Candidats!$M16="OUI",IF(Candidats!$N16="","","Parapole - "&amp;Candidats!$N16),IF(Candidats!$C16="","",IF(Candidats!$H16="",IF(OR($B16="Benjamin",$B16="Junior 1",$B16="Junior 2"),$B16,IF(Candidats!$F16="","",$B16&amp;" "&amp;Candidats!$F16)),IF(AND(COUNTIF($B16,"*Junior*")&gt;0,COUNTIF($D16,"*Junior*")&gt;0),"Double Juniors","Double Adultes"))))</f>
        <v/>
      </c>
    </row>
    <row r="17" spans="1:5" x14ac:dyDescent="0.2">
      <c r="A17" s="17" t="str">
        <f>IF(ISBLANK(Candidats!E17),"",DATEDIF(Candidats!E17,Listes!$E$2,"y"))</f>
        <v/>
      </c>
      <c r="B17" s="18" t="str">
        <f>IF(ISBLANK(Candidats!E17),"",IF(Scrutateur!A17&lt;10,"Benjamin",IF(Scrutateur!A17&lt;14,"Junior 1",IF(Scrutateur!A17&lt;18,"Junior 2",IF(Scrutateur!A17&lt;40,"Adulte",IF(Scrutateur!A17&lt;50,"Master 40+","Master 50+"))))))</f>
        <v/>
      </c>
      <c r="C17" s="23" t="str">
        <f>IF(ISBLANK(Candidats!J17),"",DATEDIF(Candidats!J17,Listes!$E$2,"y"))</f>
        <v/>
      </c>
      <c r="D17" s="24" t="str">
        <f>IF(ISBLANK(Candidats!J17),"",IF(Scrutateur!C17&lt;10,"Benjamin",IF(Scrutateur!C17&lt;14,"Junior 1",IF(Scrutateur!C17&lt;18,"Junior 2",IF(Scrutateur!C17&lt;40,"Adulte",IF(Scrutateur!C17&lt;50,"Master 40+","Master 50+"))))))</f>
        <v/>
      </c>
      <c r="E17" s="77" t="str">
        <f>IF(Candidats!$M17="OUI",IF(Candidats!$N17="","","Parapole - "&amp;Candidats!$N17),IF(Candidats!$C17="","",IF(Candidats!$H17="",IF(OR($B17="Benjamin",$B17="Junior 1",$B17="Junior 2"),$B17,IF(Candidats!$F17="","",$B17&amp;" "&amp;Candidats!$F17)),IF(AND(COUNTIF($B17,"*Junior*")&gt;0,COUNTIF($D17,"*Junior*")&gt;0),"Double Juniors","Double Adultes"))))</f>
        <v/>
      </c>
    </row>
    <row r="18" spans="1:5" x14ac:dyDescent="0.2">
      <c r="A18" s="17" t="str">
        <f>IF(ISBLANK(Candidats!E18),"",DATEDIF(Candidats!E18,Listes!$E$2,"y"))</f>
        <v/>
      </c>
      <c r="B18" s="18" t="str">
        <f>IF(ISBLANK(Candidats!E18),"",IF(Scrutateur!A18&lt;10,"Benjamin",IF(Scrutateur!A18&lt;14,"Junior 1",IF(Scrutateur!A18&lt;18,"Junior 2",IF(Scrutateur!A18&lt;40,"Adulte",IF(Scrutateur!A18&lt;50,"Master 40+","Master 50+"))))))</f>
        <v/>
      </c>
      <c r="C18" s="23" t="str">
        <f>IF(ISBLANK(Candidats!J18),"",DATEDIF(Candidats!J18,Listes!$E$2,"y"))</f>
        <v/>
      </c>
      <c r="D18" s="24" t="str">
        <f>IF(ISBLANK(Candidats!J18),"",IF(Scrutateur!C18&lt;10,"Benjamin",IF(Scrutateur!C18&lt;14,"Junior 1",IF(Scrutateur!C18&lt;18,"Junior 2",IF(Scrutateur!C18&lt;40,"Adulte",IF(Scrutateur!C18&lt;50,"Master 40+","Master 50+"))))))</f>
        <v/>
      </c>
      <c r="E18" s="77" t="str">
        <f>IF(Candidats!$M18="OUI",IF(Candidats!$N18="","","Parapole - "&amp;Candidats!$N18),IF(Candidats!$C18="","",IF(Candidats!$H18="",IF(OR($B18="Benjamin",$B18="Junior 1",$B18="Junior 2"),$B18,IF(Candidats!$F18="","",$B18&amp;" "&amp;Candidats!$F18)),IF(AND(COUNTIF($B18,"*Junior*")&gt;0,COUNTIF($D18,"*Junior*")&gt;0),"Double Juniors","Double Adultes"))))</f>
        <v/>
      </c>
    </row>
    <row r="19" spans="1:5" x14ac:dyDescent="0.2">
      <c r="A19" s="17" t="str">
        <f>IF(ISBLANK(Candidats!E19),"",DATEDIF(Candidats!E19,Listes!$E$2,"y"))</f>
        <v/>
      </c>
      <c r="B19" s="18" t="str">
        <f>IF(ISBLANK(Candidats!E19),"",IF(Scrutateur!A19&lt;10,"Benjamin",IF(Scrutateur!A19&lt;14,"Junior 1",IF(Scrutateur!A19&lt;18,"Junior 2",IF(Scrutateur!A19&lt;40,"Adulte",IF(Scrutateur!A19&lt;50,"Master 40+","Master 50+"))))))</f>
        <v/>
      </c>
      <c r="C19" s="23" t="str">
        <f>IF(ISBLANK(Candidats!J19),"",DATEDIF(Candidats!J19,Listes!$E$2,"y"))</f>
        <v/>
      </c>
      <c r="D19" s="24" t="str">
        <f>IF(ISBLANK(Candidats!J19),"",IF(Scrutateur!C19&lt;10,"Benjamin",IF(Scrutateur!C19&lt;14,"Junior 1",IF(Scrutateur!C19&lt;18,"Junior 2",IF(Scrutateur!C19&lt;40,"Adulte",IF(Scrutateur!C19&lt;50,"Master 40+","Master 50+"))))))</f>
        <v/>
      </c>
      <c r="E19" s="77" t="str">
        <f>IF(Candidats!$M19="OUI",IF(Candidats!$N19="","","Parapole - "&amp;Candidats!$N19),IF(Candidats!$C19="","",IF(Candidats!$H19="",IF(OR($B19="Benjamin",$B19="Junior 1",$B19="Junior 2"),$B19,IF(Candidats!$F19="","",$B19&amp;" "&amp;Candidats!$F19)),IF(AND(COUNTIF($B19,"*Junior*")&gt;0,COUNTIF($D19,"*Junior*")&gt;0),"Double Juniors","Double Adultes"))))</f>
        <v/>
      </c>
    </row>
    <row r="20" spans="1:5" x14ac:dyDescent="0.2">
      <c r="A20" s="17" t="str">
        <f>IF(ISBLANK(Candidats!E20),"",DATEDIF(Candidats!E20,Listes!$E$2,"y"))</f>
        <v/>
      </c>
      <c r="B20" s="18" t="str">
        <f>IF(ISBLANK(Candidats!E20),"",IF(Scrutateur!A20&lt;10,"Benjamin",IF(Scrutateur!A20&lt;14,"Junior 1",IF(Scrutateur!A20&lt;18,"Junior 2",IF(Scrutateur!A20&lt;40,"Adulte",IF(Scrutateur!A20&lt;50,"Master 40+","Master 50+"))))))</f>
        <v/>
      </c>
      <c r="C20" s="23" t="str">
        <f>IF(ISBLANK(Candidats!J20),"",DATEDIF(Candidats!J20,Listes!$E$2,"y"))</f>
        <v/>
      </c>
      <c r="D20" s="24" t="str">
        <f>IF(ISBLANK(Candidats!J20),"",IF(Scrutateur!C20&lt;10,"Benjamin",IF(Scrutateur!C20&lt;14,"Junior 1",IF(Scrutateur!C20&lt;18,"Junior 2",IF(Scrutateur!C20&lt;40,"Adulte",IF(Scrutateur!C20&lt;50,"Master 40+","Master 50+"))))))</f>
        <v/>
      </c>
      <c r="E20" s="77" t="str">
        <f>IF(Candidats!$M20="OUI",IF(Candidats!$N20="","","Parapole - "&amp;Candidats!$N20),IF(Candidats!$C20="","",IF(Candidats!$H20="",IF(OR($B20="Benjamin",$B20="Junior 1",$B20="Junior 2"),$B20,IF(Candidats!$F20="","",$B20&amp;" "&amp;Candidats!$F20)),IF(AND(COUNTIF($B20,"*Junior*")&gt;0,COUNTIF($D20,"*Junior*")&gt;0),"Double Juniors","Double Adultes"))))</f>
        <v/>
      </c>
    </row>
    <row r="21" spans="1:5" x14ac:dyDescent="0.2">
      <c r="A21" s="17" t="str">
        <f>IF(ISBLANK(Candidats!E21),"",DATEDIF(Candidats!E21,Listes!$E$2,"y"))</f>
        <v/>
      </c>
      <c r="B21" s="18" t="str">
        <f>IF(ISBLANK(Candidats!E21),"",IF(Scrutateur!A21&lt;10,"Benjamin",IF(Scrutateur!A21&lt;14,"Junior 1",IF(Scrutateur!A21&lt;18,"Junior 2",IF(Scrutateur!A21&lt;40,"Adulte",IF(Scrutateur!A21&lt;50,"Master 40+","Master 50+"))))))</f>
        <v/>
      </c>
      <c r="C21" s="23" t="str">
        <f>IF(ISBLANK(Candidats!J21),"",DATEDIF(Candidats!J21,Listes!$E$2,"y"))</f>
        <v/>
      </c>
      <c r="D21" s="24" t="str">
        <f>IF(ISBLANK(Candidats!J21),"",IF(Scrutateur!C21&lt;10,"Benjamin",IF(Scrutateur!C21&lt;14,"Junior 1",IF(Scrutateur!C21&lt;18,"Junior 2",IF(Scrutateur!C21&lt;40,"Adulte",IF(Scrutateur!C21&lt;50,"Master 40+","Master 50+"))))))</f>
        <v/>
      </c>
      <c r="E21" s="77" t="str">
        <f>IF(Candidats!$M21="OUI",IF(Candidats!$N21="","","Parapole - "&amp;Candidats!$N21),IF(Candidats!$C21="","",IF(Candidats!$H21="",IF(OR($B21="Benjamin",$B21="Junior 1",$B21="Junior 2"),$B21,IF(Candidats!$F21="","",$B21&amp;" "&amp;Candidats!$F21)),IF(AND(COUNTIF($B21,"*Junior*")&gt;0,COUNTIF($D21,"*Junior*")&gt;0),"Double Juniors","Double Adultes"))))</f>
        <v/>
      </c>
    </row>
    <row r="22" spans="1:5" x14ac:dyDescent="0.2">
      <c r="A22" s="17" t="str">
        <f>IF(ISBLANK(Candidats!E22),"",DATEDIF(Candidats!E22,Listes!$E$2,"y"))</f>
        <v/>
      </c>
      <c r="B22" s="18" t="str">
        <f>IF(ISBLANK(Candidats!E22),"",IF(Scrutateur!A22&lt;10,"Benjamin",IF(Scrutateur!A22&lt;14,"Junior 1",IF(Scrutateur!A22&lt;18,"Junior 2",IF(Scrutateur!A22&lt;40,"Adulte",IF(Scrutateur!A22&lt;50,"Master 40+","Master 50+"))))))</f>
        <v/>
      </c>
      <c r="C22" s="23" t="str">
        <f>IF(ISBLANK(Candidats!J22),"",DATEDIF(Candidats!J22,Listes!$E$2,"y"))</f>
        <v/>
      </c>
      <c r="D22" s="24" t="str">
        <f>IF(ISBLANK(Candidats!J22),"",IF(Scrutateur!C22&lt;10,"Benjamin",IF(Scrutateur!C22&lt;14,"Junior 1",IF(Scrutateur!C22&lt;18,"Junior 2",IF(Scrutateur!C22&lt;40,"Adulte",IF(Scrutateur!C22&lt;50,"Master 40+","Master 50+"))))))</f>
        <v/>
      </c>
      <c r="E22" s="77" t="str">
        <f>IF(Candidats!$M22="OUI",IF(Candidats!$N22="","","Parapole - "&amp;Candidats!$N22),IF(Candidats!$C22="","",IF(Candidats!$H22="",IF(OR($B22="Benjamin",$B22="Junior 1",$B22="Junior 2"),$B22,IF(Candidats!$F22="","",$B22&amp;" "&amp;Candidats!$F22)),IF(AND(COUNTIF($B22,"*Junior*")&gt;0,COUNTIF($D22,"*Junior*")&gt;0),"Double Juniors","Double Adultes"))))</f>
        <v/>
      </c>
    </row>
    <row r="23" spans="1:5" x14ac:dyDescent="0.2">
      <c r="A23" s="17" t="str">
        <f>IF(ISBLANK(Candidats!E23),"",DATEDIF(Candidats!E23,Listes!$E$2,"y"))</f>
        <v/>
      </c>
      <c r="B23" s="18" t="str">
        <f>IF(ISBLANK(Candidats!E23),"",IF(Scrutateur!A23&lt;10,"Benjamin",IF(Scrutateur!A23&lt;14,"Junior 1",IF(Scrutateur!A23&lt;18,"Junior 2",IF(Scrutateur!A23&lt;40,"Adulte",IF(Scrutateur!A23&lt;50,"Master 40+","Master 50+"))))))</f>
        <v/>
      </c>
      <c r="C23" s="23" t="str">
        <f>IF(ISBLANK(Candidats!J23),"",DATEDIF(Candidats!J23,Listes!$E$2,"y"))</f>
        <v/>
      </c>
      <c r="D23" s="24" t="str">
        <f>IF(ISBLANK(Candidats!J23),"",IF(Scrutateur!C23&lt;10,"Benjamin",IF(Scrutateur!C23&lt;14,"Junior 1",IF(Scrutateur!C23&lt;18,"Junior 2",IF(Scrutateur!C23&lt;40,"Adulte",IF(Scrutateur!C23&lt;50,"Master 40+","Master 50+"))))))</f>
        <v/>
      </c>
      <c r="E23" s="77" t="str">
        <f>IF(Candidats!$M23="OUI",IF(Candidats!$N23="","","Parapole - "&amp;Candidats!$N23),IF(Candidats!$C23="","",IF(Candidats!$H23="",IF(OR($B23="Benjamin",$B23="Junior 1",$B23="Junior 2"),$B23,IF(Candidats!$F23="","",$B23&amp;" "&amp;Candidats!$F23)),IF(AND(COUNTIF($B23,"*Junior*")&gt;0,COUNTIF($D23,"*Junior*")&gt;0),"Double Juniors","Double Adultes"))))</f>
        <v/>
      </c>
    </row>
    <row r="24" spans="1:5" x14ac:dyDescent="0.2">
      <c r="A24" s="17" t="str">
        <f>IF(ISBLANK(Candidats!E24),"",DATEDIF(Candidats!E24,Listes!$E$2,"y"))</f>
        <v/>
      </c>
      <c r="B24" s="18" t="str">
        <f>IF(ISBLANK(Candidats!E24),"",IF(Scrutateur!A24&lt;10,"Benjamin",IF(Scrutateur!A24&lt;14,"Junior 1",IF(Scrutateur!A24&lt;18,"Junior 2",IF(Scrutateur!A24&lt;40,"Adulte",IF(Scrutateur!A24&lt;50,"Master 40+","Master 50+"))))))</f>
        <v/>
      </c>
      <c r="C24" s="23" t="str">
        <f>IF(ISBLANK(Candidats!J24),"",DATEDIF(Candidats!J24,Listes!$E$2,"y"))</f>
        <v/>
      </c>
      <c r="D24" s="24" t="str">
        <f>IF(ISBLANK(Candidats!J24),"",IF(Scrutateur!C24&lt;10,"Benjamin",IF(Scrutateur!C24&lt;14,"Junior 1",IF(Scrutateur!C24&lt;18,"Junior 2",IF(Scrutateur!C24&lt;40,"Adulte",IF(Scrutateur!C24&lt;50,"Master 40+","Master 50+"))))))</f>
        <v/>
      </c>
      <c r="E24" s="77" t="str">
        <f>IF(Candidats!$M24="OUI",IF(Candidats!$N24="","","Parapole - "&amp;Candidats!$N24),IF(Candidats!$C24="","",IF(Candidats!$H24="",IF(OR($B24="Benjamin",$B24="Junior 1",$B24="Junior 2"),$B24,IF(Candidats!$F24="","",$B24&amp;" "&amp;Candidats!$F24)),IF(AND(COUNTIF($B24,"*Junior*")&gt;0,COUNTIF($D24,"*Junior*")&gt;0),"Double Juniors","Double Adultes"))))</f>
        <v/>
      </c>
    </row>
    <row r="25" spans="1:5" x14ac:dyDescent="0.2">
      <c r="A25" s="17" t="str">
        <f>IF(ISBLANK(Candidats!E25),"",DATEDIF(Candidats!E25,Listes!$E$2,"y"))</f>
        <v/>
      </c>
      <c r="B25" s="18" t="str">
        <f>IF(ISBLANK(Candidats!E25),"",IF(Scrutateur!A25&lt;10,"Benjamin",IF(Scrutateur!A25&lt;14,"Junior 1",IF(Scrutateur!A25&lt;18,"Junior 2",IF(Scrutateur!A25&lt;40,"Adulte",IF(Scrutateur!A25&lt;50,"Master 40+","Master 50+"))))))</f>
        <v/>
      </c>
      <c r="C25" s="23" t="str">
        <f>IF(ISBLANK(Candidats!J25),"",DATEDIF(Candidats!J25,Listes!$E$2,"y"))</f>
        <v/>
      </c>
      <c r="D25" s="24" t="str">
        <f>IF(ISBLANK(Candidats!J25),"",IF(Scrutateur!C25&lt;10,"Benjamin",IF(Scrutateur!C25&lt;14,"Junior 1",IF(Scrutateur!C25&lt;18,"Junior 2",IF(Scrutateur!C25&lt;40,"Adulte",IF(Scrutateur!C25&lt;50,"Master 40+","Master 50+"))))))</f>
        <v/>
      </c>
      <c r="E25" s="77" t="str">
        <f>IF(Candidats!$M25="OUI",IF(Candidats!$N25="","","Parapole - "&amp;Candidats!$N25),IF(Candidats!$C25="","",IF(Candidats!$H25="",IF(OR($B25="Benjamin",$B25="Junior 1",$B25="Junior 2"),$B25,IF(Candidats!$F25="","",$B25&amp;" "&amp;Candidats!$F25)),IF(AND(COUNTIF($B25,"*Junior*")&gt;0,COUNTIF($D25,"*Junior*")&gt;0),"Double Juniors","Double Adultes"))))</f>
        <v/>
      </c>
    </row>
    <row r="26" spans="1:5" x14ac:dyDescent="0.2">
      <c r="A26" s="17" t="str">
        <f>IF(ISBLANK(Candidats!E26),"",DATEDIF(Candidats!E26,Listes!$E$2,"y"))</f>
        <v/>
      </c>
      <c r="B26" s="18" t="str">
        <f>IF(ISBLANK(Candidats!E26),"",IF(Scrutateur!A26&lt;10,"Benjamin",IF(Scrutateur!A26&lt;14,"Junior 1",IF(Scrutateur!A26&lt;18,"Junior 2",IF(Scrutateur!A26&lt;40,"Adulte",IF(Scrutateur!A26&lt;50,"Master 40+","Master 50+"))))))</f>
        <v/>
      </c>
      <c r="C26" s="23" t="str">
        <f>IF(ISBLANK(Candidats!J26),"",DATEDIF(Candidats!J26,Listes!$E$2,"y"))</f>
        <v/>
      </c>
      <c r="D26" s="24" t="str">
        <f>IF(ISBLANK(Candidats!J26),"",IF(Scrutateur!C26&lt;10,"Benjamin",IF(Scrutateur!C26&lt;14,"Junior 1",IF(Scrutateur!C26&lt;18,"Junior 2",IF(Scrutateur!C26&lt;40,"Adulte",IF(Scrutateur!C26&lt;50,"Master 40+","Master 50+"))))))</f>
        <v/>
      </c>
      <c r="E26" s="77" t="str">
        <f>IF(Candidats!$M26="OUI",IF(Candidats!$N26="","","Parapole - "&amp;Candidats!$N26),IF(Candidats!$C26="","",IF(Candidats!$H26="",IF(OR($B26="Benjamin",$B26="Junior 1",$B26="Junior 2"),$B26,IF(Candidats!$F26="","",$B26&amp;" "&amp;Candidats!$F26)),IF(AND(COUNTIF($B26,"*Junior*")&gt;0,COUNTIF($D26,"*Junior*")&gt;0),"Double Juniors","Double Adultes"))))</f>
        <v/>
      </c>
    </row>
    <row r="27" spans="1:5" x14ac:dyDescent="0.2">
      <c r="A27" s="17" t="str">
        <f>IF(ISBLANK(Candidats!E27),"",DATEDIF(Candidats!E27,Listes!$E$2,"y"))</f>
        <v/>
      </c>
      <c r="B27" s="18" t="str">
        <f>IF(ISBLANK(Candidats!E27),"",IF(Scrutateur!A27&lt;10,"Benjamin",IF(Scrutateur!A27&lt;14,"Junior 1",IF(Scrutateur!A27&lt;18,"Junior 2",IF(Scrutateur!A27&lt;40,"Adulte",IF(Scrutateur!A27&lt;50,"Master 40+","Master 50+"))))))</f>
        <v/>
      </c>
      <c r="C27" s="23" t="str">
        <f>IF(ISBLANK(Candidats!J27),"",DATEDIF(Candidats!J27,Listes!$E$2,"y"))</f>
        <v/>
      </c>
      <c r="D27" s="24" t="str">
        <f>IF(ISBLANK(Candidats!J27),"",IF(Scrutateur!C27&lt;10,"Benjamin",IF(Scrutateur!C27&lt;14,"Junior 1",IF(Scrutateur!C27&lt;18,"Junior 2",IF(Scrutateur!C27&lt;40,"Adulte",IF(Scrutateur!C27&lt;50,"Master 40+","Master 50+"))))))</f>
        <v/>
      </c>
      <c r="E27" s="77" t="str">
        <f>IF(Candidats!$M27="OUI",IF(Candidats!$N27="","","Parapole - "&amp;Candidats!$N27),IF(Candidats!$C27="","",IF(Candidats!$H27="",IF(OR($B27="Benjamin",$B27="Junior 1",$B27="Junior 2"),$B27,IF(Candidats!$F27="","",$B27&amp;" "&amp;Candidats!$F27)),IF(AND(COUNTIF($B27,"*Junior*")&gt;0,COUNTIF($D27,"*Junior*")&gt;0),"Double Juniors","Double Adultes"))))</f>
        <v/>
      </c>
    </row>
    <row r="28" spans="1:5" x14ac:dyDescent="0.2">
      <c r="A28" s="17" t="str">
        <f>IF(ISBLANK(Candidats!E28),"",DATEDIF(Candidats!E28,Listes!$E$2,"y"))</f>
        <v/>
      </c>
      <c r="B28" s="18" t="str">
        <f>IF(ISBLANK(Candidats!E28),"",IF(Scrutateur!A28&lt;10,"Benjamin",IF(Scrutateur!A28&lt;14,"Junior 1",IF(Scrutateur!A28&lt;18,"Junior 2",IF(Scrutateur!A28&lt;40,"Adulte",IF(Scrutateur!A28&lt;50,"Master 40+","Master 50+"))))))</f>
        <v/>
      </c>
      <c r="C28" s="23" t="str">
        <f>IF(ISBLANK(Candidats!J28),"",DATEDIF(Candidats!J28,Listes!$E$2,"y"))</f>
        <v/>
      </c>
      <c r="D28" s="24" t="str">
        <f>IF(ISBLANK(Candidats!J28),"",IF(Scrutateur!C28&lt;10,"Benjamin",IF(Scrutateur!C28&lt;14,"Junior 1",IF(Scrutateur!C28&lt;18,"Junior 2",IF(Scrutateur!C28&lt;40,"Adulte",IF(Scrutateur!C28&lt;50,"Master 40+","Master 50+"))))))</f>
        <v/>
      </c>
      <c r="E28" s="77" t="str">
        <f>IF(Candidats!$M28="OUI",IF(Candidats!$N28="","","Parapole - "&amp;Candidats!$N28),IF(Candidats!$C28="","",IF(Candidats!$H28="",IF(OR($B28="Benjamin",$B28="Junior 1",$B28="Junior 2"),$B28,IF(Candidats!$F28="","",$B28&amp;" "&amp;Candidats!$F28)),IF(AND(COUNTIF($B28,"*Junior*")&gt;0,COUNTIF($D28,"*Junior*")&gt;0),"Double Juniors","Double Adultes"))))</f>
        <v/>
      </c>
    </row>
    <row r="29" spans="1:5" x14ac:dyDescent="0.2">
      <c r="A29" s="17" t="str">
        <f>IF(ISBLANK(Candidats!E29),"",DATEDIF(Candidats!E29,Listes!$E$2,"y"))</f>
        <v/>
      </c>
      <c r="B29" s="18" t="str">
        <f>IF(ISBLANK(Candidats!E29),"",IF(Scrutateur!A29&lt;10,"Benjamin",IF(Scrutateur!A29&lt;14,"Junior 1",IF(Scrutateur!A29&lt;18,"Junior 2",IF(Scrutateur!A29&lt;40,"Adulte",IF(Scrutateur!A29&lt;50,"Master 40+","Master 50+"))))))</f>
        <v/>
      </c>
      <c r="C29" s="23" t="str">
        <f>IF(ISBLANK(Candidats!J29),"",DATEDIF(Candidats!J29,Listes!$E$2,"y"))</f>
        <v/>
      </c>
      <c r="D29" s="24" t="str">
        <f>IF(ISBLANK(Candidats!J29),"",IF(Scrutateur!C29&lt;10,"Benjamin",IF(Scrutateur!C29&lt;14,"Junior 1",IF(Scrutateur!C29&lt;18,"Junior 2",IF(Scrutateur!C29&lt;40,"Adulte",IF(Scrutateur!C29&lt;50,"Master 40+","Master 50+"))))))</f>
        <v/>
      </c>
      <c r="E29" s="77" t="str">
        <f>IF(Candidats!$M29="OUI",IF(Candidats!$N29="","","Parapole - "&amp;Candidats!$N29),IF(Candidats!$C29="","",IF(Candidats!$H29="",IF(OR($B29="Benjamin",$B29="Junior 1",$B29="Junior 2"),$B29,IF(Candidats!$F29="","",$B29&amp;" "&amp;Candidats!$F29)),IF(AND(COUNTIF($B29,"*Junior*")&gt;0,COUNTIF($D29,"*Junior*")&gt;0),"Double Juniors","Double Adultes"))))</f>
        <v/>
      </c>
    </row>
    <row r="30" spans="1:5" x14ac:dyDescent="0.2">
      <c r="A30" s="17" t="str">
        <f>IF(ISBLANK(Candidats!E30),"",DATEDIF(Candidats!E30,Listes!$E$2,"y"))</f>
        <v/>
      </c>
      <c r="B30" s="18" t="str">
        <f>IF(ISBLANK(Candidats!E30),"",IF(Scrutateur!A30&lt;10,"Benjamin",IF(Scrutateur!A30&lt;14,"Junior 1",IF(Scrutateur!A30&lt;18,"Junior 2",IF(Scrutateur!A30&lt;40,"Adulte",IF(Scrutateur!A30&lt;50,"Master 40+","Master 50+"))))))</f>
        <v/>
      </c>
      <c r="C30" s="23" t="str">
        <f>IF(ISBLANK(Candidats!J30),"",DATEDIF(Candidats!J30,Listes!$E$2,"y"))</f>
        <v/>
      </c>
      <c r="D30" s="24" t="str">
        <f>IF(ISBLANK(Candidats!J30),"",IF(Scrutateur!C30&lt;10,"Benjamin",IF(Scrutateur!C30&lt;14,"Junior 1",IF(Scrutateur!C30&lt;18,"Junior 2",IF(Scrutateur!C30&lt;40,"Adulte",IF(Scrutateur!C30&lt;50,"Master 40+","Master 50+"))))))</f>
        <v/>
      </c>
      <c r="E30" s="77" t="str">
        <f>IF(Candidats!$M30="OUI",IF(Candidats!$N30="","","Parapole - "&amp;Candidats!$N30),IF(Candidats!$C30="","",IF(Candidats!$H30="",IF(OR($B30="Benjamin",$B30="Junior 1",$B30="Junior 2"),$B30,IF(Candidats!$F30="","",$B30&amp;" "&amp;Candidats!$F30)),IF(AND(COUNTIF($B30,"*Junior*")&gt;0,COUNTIF($D30,"*Junior*")&gt;0),"Double Juniors","Double Adultes"))))</f>
        <v/>
      </c>
    </row>
    <row r="31" spans="1:5" x14ac:dyDescent="0.2">
      <c r="A31" s="17" t="str">
        <f>IF(ISBLANK(Candidats!E31),"",DATEDIF(Candidats!E31,Listes!$E$2,"y"))</f>
        <v/>
      </c>
      <c r="B31" s="18" t="str">
        <f>IF(ISBLANK(Candidats!E31),"",IF(Scrutateur!A31&lt;10,"Benjamin",IF(Scrutateur!A31&lt;14,"Junior 1",IF(Scrutateur!A31&lt;18,"Junior 2",IF(Scrutateur!A31&lt;40,"Adulte",IF(Scrutateur!A31&lt;50,"Master 40+","Master 50+"))))))</f>
        <v/>
      </c>
      <c r="C31" s="23" t="str">
        <f>IF(ISBLANK(Candidats!J31),"",DATEDIF(Candidats!J31,Listes!$E$2,"y"))</f>
        <v/>
      </c>
      <c r="D31" s="24" t="str">
        <f>IF(ISBLANK(Candidats!J31),"",IF(Scrutateur!C31&lt;10,"Benjamin",IF(Scrutateur!C31&lt;14,"Junior 1",IF(Scrutateur!C31&lt;18,"Junior 2",IF(Scrutateur!C31&lt;40,"Adulte",IF(Scrutateur!C31&lt;50,"Master 40+","Master 50+"))))))</f>
        <v/>
      </c>
      <c r="E31" s="77" t="str">
        <f>IF(Candidats!$M31="OUI",IF(Candidats!$N31="","","Parapole - "&amp;Candidats!$N31),IF(Candidats!$C31="","",IF(Candidats!$H31="",IF(OR($B31="Benjamin",$B31="Junior 1",$B31="Junior 2"),$B31,IF(Candidats!$F31="","",$B31&amp;" "&amp;Candidats!$F31)),IF(AND(COUNTIF($B31,"*Junior*")&gt;0,COUNTIF($D31,"*Junior*")&gt;0),"Double Juniors","Double Adultes"))))</f>
        <v/>
      </c>
    </row>
    <row r="32" spans="1:5" x14ac:dyDescent="0.2">
      <c r="A32" s="17" t="str">
        <f>IF(ISBLANK(Candidats!E32),"",DATEDIF(Candidats!E32,Listes!$E$2,"y"))</f>
        <v/>
      </c>
      <c r="B32" s="18" t="str">
        <f>IF(ISBLANK(Candidats!E32),"",IF(Scrutateur!A32&lt;10,"Benjamin",IF(Scrutateur!A32&lt;14,"Junior 1",IF(Scrutateur!A32&lt;18,"Junior 2",IF(Scrutateur!A32&lt;40,"Adulte",IF(Scrutateur!A32&lt;50,"Master 40+","Master 50+"))))))</f>
        <v/>
      </c>
      <c r="C32" s="23" t="str">
        <f>IF(ISBLANK(Candidats!J32),"",DATEDIF(Candidats!J32,Listes!$E$2,"y"))</f>
        <v/>
      </c>
      <c r="D32" s="24" t="str">
        <f>IF(ISBLANK(Candidats!J32),"",IF(Scrutateur!C32&lt;10,"Benjamin",IF(Scrutateur!C32&lt;14,"Junior 1",IF(Scrutateur!C32&lt;18,"Junior 2",IF(Scrutateur!C32&lt;40,"Adulte",IF(Scrutateur!C32&lt;50,"Master 40+","Master 50+"))))))</f>
        <v/>
      </c>
      <c r="E32" s="77" t="str">
        <f>IF(Candidats!$M32="OUI",IF(Candidats!$N32="","","Parapole - "&amp;Candidats!$N32),IF(Candidats!$C32="","",IF(Candidats!$H32="",IF(OR($B32="Benjamin",$B32="Junior 1",$B32="Junior 2"),$B32,IF(Candidats!$F32="","",$B32&amp;" "&amp;Candidats!$F32)),IF(AND(COUNTIF($B32,"*Junior*")&gt;0,COUNTIF($D32,"*Junior*")&gt;0),"Double Juniors","Double Adultes"))))</f>
        <v/>
      </c>
    </row>
    <row r="33" spans="1:5" x14ac:dyDescent="0.2">
      <c r="A33" s="17" t="str">
        <f>IF(ISBLANK(Candidats!E33),"",DATEDIF(Candidats!E33,Listes!$E$2,"y"))</f>
        <v/>
      </c>
      <c r="B33" s="18" t="str">
        <f>IF(ISBLANK(Candidats!E33),"",IF(Scrutateur!A33&lt;10,"Benjamin",IF(Scrutateur!A33&lt;14,"Junior 1",IF(Scrutateur!A33&lt;18,"Junior 2",IF(Scrutateur!A33&lt;40,"Adulte",IF(Scrutateur!A33&lt;50,"Master 40+","Master 50+"))))))</f>
        <v/>
      </c>
      <c r="C33" s="23" t="str">
        <f>IF(ISBLANK(Candidats!J33),"",DATEDIF(Candidats!J33,Listes!$E$2,"y"))</f>
        <v/>
      </c>
      <c r="D33" s="24" t="str">
        <f>IF(ISBLANK(Candidats!J33),"",IF(Scrutateur!C33&lt;10,"Benjamin",IF(Scrutateur!C33&lt;14,"Junior 1",IF(Scrutateur!C33&lt;18,"Junior 2",IF(Scrutateur!C33&lt;40,"Adulte",IF(Scrutateur!C33&lt;50,"Master 40+","Master 50+"))))))</f>
        <v/>
      </c>
      <c r="E33" s="77" t="str">
        <f>IF(Candidats!$M33="OUI",IF(Candidats!$N33="","","Parapole - "&amp;Candidats!$N33),IF(Candidats!$C33="","",IF(Candidats!$H33="",IF(OR($B33="Benjamin",$B33="Junior 1",$B33="Junior 2"),$B33,IF(Candidats!$F33="","",$B33&amp;" "&amp;Candidats!$F33)),IF(AND(COUNTIF($B33,"*Junior*")&gt;0,COUNTIF($D33,"*Junior*")&gt;0),"Double Juniors","Double Adultes"))))</f>
        <v/>
      </c>
    </row>
    <row r="34" spans="1:5" x14ac:dyDescent="0.2">
      <c r="A34" s="17" t="str">
        <f>IF(ISBLANK(Candidats!E34),"",DATEDIF(Candidats!E34,Listes!$E$2,"y"))</f>
        <v/>
      </c>
      <c r="B34" s="18" t="str">
        <f>IF(ISBLANK(Candidats!E34),"",IF(Scrutateur!A34&lt;10,"Benjamin",IF(Scrutateur!A34&lt;14,"Junior 1",IF(Scrutateur!A34&lt;18,"Junior 2",IF(Scrutateur!A34&lt;40,"Adulte",IF(Scrutateur!A34&lt;50,"Master 40+","Master 50+"))))))</f>
        <v/>
      </c>
      <c r="C34" s="23" t="str">
        <f>IF(ISBLANK(Candidats!J34),"",DATEDIF(Candidats!J34,Listes!$E$2,"y"))</f>
        <v/>
      </c>
      <c r="D34" s="24" t="str">
        <f>IF(ISBLANK(Candidats!J34),"",IF(Scrutateur!C34&lt;10,"Benjamin",IF(Scrutateur!C34&lt;14,"Junior 1",IF(Scrutateur!C34&lt;18,"Junior 2",IF(Scrutateur!C34&lt;40,"Adulte",IF(Scrutateur!C34&lt;50,"Master 40+","Master 50+"))))))</f>
        <v/>
      </c>
      <c r="E34" s="77" t="str">
        <f>IF(Candidats!$M34="OUI",IF(Candidats!$N34="","","Parapole - "&amp;Candidats!$N34),IF(Candidats!$C34="","",IF(Candidats!$H34="",IF(OR($B34="Benjamin",$B34="Junior 1",$B34="Junior 2"),$B34,IF(Candidats!$F34="","",$B34&amp;" "&amp;Candidats!$F34)),IF(AND(COUNTIF($B34,"*Junior*")&gt;0,COUNTIF($D34,"*Junior*")&gt;0),"Double Juniors","Double Adultes"))))</f>
        <v/>
      </c>
    </row>
    <row r="35" spans="1:5" x14ac:dyDescent="0.2">
      <c r="A35" s="17" t="str">
        <f>IF(ISBLANK(Candidats!E35),"",DATEDIF(Candidats!E35,Listes!$E$2,"y"))</f>
        <v/>
      </c>
      <c r="B35" s="18" t="str">
        <f>IF(ISBLANK(Candidats!E35),"",IF(Scrutateur!A35&lt;10,"Benjamin",IF(Scrutateur!A35&lt;14,"Junior 1",IF(Scrutateur!A35&lt;18,"Junior 2",IF(Scrutateur!A35&lt;40,"Adulte",IF(Scrutateur!A35&lt;50,"Master 40+","Master 50+"))))))</f>
        <v/>
      </c>
      <c r="C35" s="23" t="str">
        <f>IF(ISBLANK(Candidats!J35),"",DATEDIF(Candidats!J35,Listes!$E$2,"y"))</f>
        <v/>
      </c>
      <c r="D35" s="24" t="str">
        <f>IF(ISBLANK(Candidats!J35),"",IF(Scrutateur!C35&lt;10,"Benjamin",IF(Scrutateur!C35&lt;14,"Junior 1",IF(Scrutateur!C35&lt;18,"Junior 2",IF(Scrutateur!C35&lt;40,"Adulte",IF(Scrutateur!C35&lt;50,"Master 40+","Master 50+"))))))</f>
        <v/>
      </c>
      <c r="E35" s="77" t="str">
        <f>IF(Candidats!$M35="OUI",IF(Candidats!$N35="","","Parapole - "&amp;Candidats!$N35),IF(Candidats!$C35="","",IF(Candidats!$H35="",IF(OR($B35="Benjamin",$B35="Junior 1",$B35="Junior 2"),$B35,IF(Candidats!$F35="","",$B35&amp;" "&amp;Candidats!$F35)),IF(AND(COUNTIF($B35,"*Junior*")&gt;0,COUNTIF($D35,"*Junior*")&gt;0),"Double Juniors","Double Adultes"))))</f>
        <v/>
      </c>
    </row>
    <row r="36" spans="1:5" x14ac:dyDescent="0.2">
      <c r="A36" s="17" t="str">
        <f>IF(ISBLANK(Candidats!E36),"",DATEDIF(Candidats!E36,Listes!$E$2,"y"))</f>
        <v/>
      </c>
      <c r="B36" s="18" t="str">
        <f>IF(ISBLANK(Candidats!E36),"",IF(Scrutateur!A36&lt;10,"Benjamin",IF(Scrutateur!A36&lt;14,"Junior 1",IF(Scrutateur!A36&lt;18,"Junior 2",IF(Scrutateur!A36&lt;40,"Adulte",IF(Scrutateur!A36&lt;50,"Master 40+","Master 50+"))))))</f>
        <v/>
      </c>
      <c r="C36" s="23" t="str">
        <f>IF(ISBLANK(Candidats!J36),"",DATEDIF(Candidats!J36,Listes!$E$2,"y"))</f>
        <v/>
      </c>
      <c r="D36" s="24" t="str">
        <f>IF(ISBLANK(Candidats!J36),"",IF(Scrutateur!C36&lt;10,"Benjamin",IF(Scrutateur!C36&lt;14,"Junior 1",IF(Scrutateur!C36&lt;18,"Junior 2",IF(Scrutateur!C36&lt;40,"Adulte",IF(Scrutateur!C36&lt;50,"Master 40+","Master 50+"))))))</f>
        <v/>
      </c>
      <c r="E36" s="77" t="str">
        <f>IF(Candidats!$M36="OUI",IF(Candidats!$N36="","","Parapole - "&amp;Candidats!$N36),IF(Candidats!$C36="","",IF(Candidats!$H36="",IF(OR($B36="Benjamin",$B36="Junior 1",$B36="Junior 2"),$B36,IF(Candidats!$F36="","",$B36&amp;" "&amp;Candidats!$F36)),IF(AND(COUNTIF($B36,"*Junior*")&gt;0,COUNTIF($D36,"*Junior*")&gt;0),"Double Juniors","Double Adultes"))))</f>
        <v/>
      </c>
    </row>
    <row r="37" spans="1:5" x14ac:dyDescent="0.2">
      <c r="A37" s="17" t="str">
        <f>IF(ISBLANK(Candidats!E37),"",DATEDIF(Candidats!E37,Listes!$E$2,"y"))</f>
        <v/>
      </c>
      <c r="B37" s="18" t="str">
        <f>IF(ISBLANK(Candidats!E37),"",IF(Scrutateur!A37&lt;10,"Benjamin",IF(Scrutateur!A37&lt;14,"Junior 1",IF(Scrutateur!A37&lt;18,"Junior 2",IF(Scrutateur!A37&lt;40,"Adulte",IF(Scrutateur!A37&lt;50,"Master 40+","Master 50+"))))))</f>
        <v/>
      </c>
      <c r="C37" s="23" t="str">
        <f>IF(ISBLANK(Candidats!J37),"",DATEDIF(Candidats!J37,Listes!$E$2,"y"))</f>
        <v/>
      </c>
      <c r="D37" s="24" t="str">
        <f>IF(ISBLANK(Candidats!J37),"",IF(Scrutateur!C37&lt;10,"Benjamin",IF(Scrutateur!C37&lt;14,"Junior 1",IF(Scrutateur!C37&lt;18,"Junior 2",IF(Scrutateur!C37&lt;40,"Adulte",IF(Scrutateur!C37&lt;50,"Master 40+","Master 50+"))))))</f>
        <v/>
      </c>
      <c r="E37" s="77" t="str">
        <f>IF(Candidats!$M37="OUI",IF(Candidats!$N37="","","Parapole - "&amp;Candidats!$N37),IF(Candidats!$C37="","",IF(Candidats!$H37="",IF(OR($B37="Benjamin",$B37="Junior 1",$B37="Junior 2"),$B37,IF(Candidats!$F37="","",$B37&amp;" "&amp;Candidats!$F37)),IF(AND(COUNTIF($B37,"*Junior*")&gt;0,COUNTIF($D37,"*Junior*")&gt;0),"Double Juniors","Double Adultes"))))</f>
        <v/>
      </c>
    </row>
    <row r="38" spans="1:5" x14ac:dyDescent="0.2">
      <c r="A38" s="17" t="str">
        <f>IF(ISBLANK(Candidats!E38),"",DATEDIF(Candidats!E38,Listes!$E$2,"y"))</f>
        <v/>
      </c>
      <c r="B38" s="18" t="str">
        <f>IF(ISBLANK(Candidats!E38),"",IF(Scrutateur!A38&lt;10,"Benjamin",IF(Scrutateur!A38&lt;14,"Junior 1",IF(Scrutateur!A38&lt;18,"Junior 2",IF(Scrutateur!A38&lt;40,"Adulte",IF(Scrutateur!A38&lt;50,"Master 40+","Master 50+"))))))</f>
        <v/>
      </c>
      <c r="C38" s="23" t="str">
        <f>IF(ISBLANK(Candidats!J38),"",DATEDIF(Candidats!J38,Listes!$E$2,"y"))</f>
        <v/>
      </c>
      <c r="D38" s="24" t="str">
        <f>IF(ISBLANK(Candidats!J38),"",IF(Scrutateur!C38&lt;10,"Benjamin",IF(Scrutateur!C38&lt;14,"Junior 1",IF(Scrutateur!C38&lt;18,"Junior 2",IF(Scrutateur!C38&lt;40,"Adulte",IF(Scrutateur!C38&lt;50,"Master 40+","Master 50+"))))))</f>
        <v/>
      </c>
      <c r="E38" s="77" t="str">
        <f>IF(Candidats!$M38="OUI",IF(Candidats!$N38="","","Parapole - "&amp;Candidats!$N38),IF(Candidats!$C38="","",IF(Candidats!$H38="",IF(OR($B38="Benjamin",$B38="Junior 1",$B38="Junior 2"),$B38,IF(Candidats!$F38="","",$B38&amp;" "&amp;Candidats!$F38)),IF(AND(COUNTIF($B38,"*Junior*")&gt;0,COUNTIF($D38,"*Junior*")&gt;0),"Double Juniors","Double Adultes"))))</f>
        <v/>
      </c>
    </row>
    <row r="39" spans="1:5" x14ac:dyDescent="0.2">
      <c r="A39" s="17" t="str">
        <f>IF(ISBLANK(Candidats!E39),"",DATEDIF(Candidats!E39,Listes!$E$2,"y"))</f>
        <v/>
      </c>
      <c r="B39" s="18" t="str">
        <f>IF(ISBLANK(Candidats!E39),"",IF(Scrutateur!A39&lt;10,"Benjamin",IF(Scrutateur!A39&lt;14,"Junior 1",IF(Scrutateur!A39&lt;18,"Junior 2",IF(Scrutateur!A39&lt;40,"Adulte",IF(Scrutateur!A39&lt;50,"Master 40+","Master 50+"))))))</f>
        <v/>
      </c>
      <c r="C39" s="23" t="str">
        <f>IF(ISBLANK(Candidats!J39),"",DATEDIF(Candidats!J39,Listes!$E$2,"y"))</f>
        <v/>
      </c>
      <c r="D39" s="24" t="str">
        <f>IF(ISBLANK(Candidats!J39),"",IF(Scrutateur!C39&lt;10,"Benjamin",IF(Scrutateur!C39&lt;14,"Junior 1",IF(Scrutateur!C39&lt;18,"Junior 2",IF(Scrutateur!C39&lt;40,"Adulte",IF(Scrutateur!C39&lt;50,"Master 40+","Master 50+"))))))</f>
        <v/>
      </c>
      <c r="E39" s="77" t="str">
        <f>IF(Candidats!$M39="OUI",IF(Candidats!$N39="","","Parapole - "&amp;Candidats!$N39),IF(Candidats!$C39="","",IF(Candidats!$H39="",IF(OR($B39="Benjamin",$B39="Junior 1",$B39="Junior 2"),$B39,IF(Candidats!$F39="","",$B39&amp;" "&amp;Candidats!$F39)),IF(AND(COUNTIF($B39,"*Junior*")&gt;0,COUNTIF($D39,"*Junior*")&gt;0),"Double Juniors","Double Adultes"))))</f>
        <v/>
      </c>
    </row>
    <row r="40" spans="1:5" x14ac:dyDescent="0.2">
      <c r="A40" s="17" t="str">
        <f>IF(ISBLANK(Candidats!E40),"",DATEDIF(Candidats!E40,Listes!$E$2,"y"))</f>
        <v/>
      </c>
      <c r="B40" s="18" t="str">
        <f>IF(ISBLANK(Candidats!E40),"",IF(Scrutateur!A40&lt;10,"Benjamin",IF(Scrutateur!A40&lt;14,"Junior 1",IF(Scrutateur!A40&lt;18,"Junior 2",IF(Scrutateur!A40&lt;40,"Adulte",IF(Scrutateur!A40&lt;50,"Master 40+","Master 50+"))))))</f>
        <v/>
      </c>
      <c r="C40" s="23" t="str">
        <f>IF(ISBLANK(Candidats!J40),"",DATEDIF(Candidats!J40,Listes!$E$2,"y"))</f>
        <v/>
      </c>
      <c r="D40" s="24" t="str">
        <f>IF(ISBLANK(Candidats!J40),"",IF(Scrutateur!C40&lt;10,"Benjamin",IF(Scrutateur!C40&lt;14,"Junior 1",IF(Scrutateur!C40&lt;18,"Junior 2",IF(Scrutateur!C40&lt;40,"Adulte",IF(Scrutateur!C40&lt;50,"Master 40+","Master 50+"))))))</f>
        <v/>
      </c>
      <c r="E40" s="77" t="str">
        <f>IF(Candidats!$M40="OUI",IF(Candidats!$N40="","","Parapole - "&amp;Candidats!$N40),IF(Candidats!$C40="","",IF(Candidats!$H40="",IF(OR($B40="Benjamin",$B40="Junior 1",$B40="Junior 2"),$B40,IF(Candidats!$F40="","",$B40&amp;" "&amp;Candidats!$F40)),IF(AND(COUNTIF($B40,"*Junior*")&gt;0,COUNTIF($D40,"*Junior*")&gt;0),"Double Juniors","Double Adultes"))))</f>
        <v/>
      </c>
    </row>
    <row r="41" spans="1:5" x14ac:dyDescent="0.2">
      <c r="A41" s="17" t="str">
        <f>IF(ISBLANK(Candidats!E41),"",DATEDIF(Candidats!E41,Listes!$E$2,"y"))</f>
        <v/>
      </c>
      <c r="B41" s="18" t="str">
        <f>IF(ISBLANK(Candidats!E41),"",IF(Scrutateur!A41&lt;10,"Benjamin",IF(Scrutateur!A41&lt;14,"Junior 1",IF(Scrutateur!A41&lt;18,"Junior 2",IF(Scrutateur!A41&lt;40,"Adulte",IF(Scrutateur!A41&lt;50,"Master 40+","Master 50+"))))))</f>
        <v/>
      </c>
      <c r="C41" s="23" t="str">
        <f>IF(ISBLANK(Candidats!J41),"",DATEDIF(Candidats!J41,Listes!$E$2,"y"))</f>
        <v/>
      </c>
      <c r="D41" s="24" t="str">
        <f>IF(ISBLANK(Candidats!J41),"",IF(Scrutateur!C41&lt;10,"Benjamin",IF(Scrutateur!C41&lt;14,"Junior 1",IF(Scrutateur!C41&lt;18,"Junior 2",IF(Scrutateur!C41&lt;40,"Adulte",IF(Scrutateur!C41&lt;50,"Master 40+","Master 50+"))))))</f>
        <v/>
      </c>
      <c r="E41" s="77" t="str">
        <f>IF(Candidats!$M41="OUI",IF(Candidats!$N41="","","Parapole - "&amp;Candidats!$N41),IF(Candidats!$C41="","",IF(Candidats!$H41="",IF(OR($B41="Benjamin",$B41="Junior 1",$B41="Junior 2"),$B41,IF(Candidats!$F41="","",$B41&amp;" "&amp;Candidats!$F41)),IF(AND(COUNTIF($B41,"*Junior*")&gt;0,COUNTIF($D41,"*Junior*")&gt;0),"Double Juniors","Double Adultes"))))</f>
        <v/>
      </c>
    </row>
    <row r="42" spans="1:5" x14ac:dyDescent="0.2">
      <c r="A42" s="17" t="str">
        <f>IF(ISBLANK(Candidats!E42),"",DATEDIF(Candidats!E42,Listes!$E$2,"y"))</f>
        <v/>
      </c>
      <c r="B42" s="18" t="str">
        <f>IF(ISBLANK(Candidats!E42),"",IF(Scrutateur!A42&lt;10,"Benjamin",IF(Scrutateur!A42&lt;14,"Junior 1",IF(Scrutateur!A42&lt;18,"Junior 2",IF(Scrutateur!A42&lt;40,"Adulte",IF(Scrutateur!A42&lt;50,"Master 40+","Master 50+"))))))</f>
        <v/>
      </c>
      <c r="C42" s="23" t="str">
        <f>IF(ISBLANK(Candidats!J42),"",DATEDIF(Candidats!J42,Listes!$E$2,"y"))</f>
        <v/>
      </c>
      <c r="D42" s="24" t="str">
        <f>IF(ISBLANK(Candidats!J42),"",IF(Scrutateur!C42&lt;10,"Benjamin",IF(Scrutateur!C42&lt;14,"Junior 1",IF(Scrutateur!C42&lt;18,"Junior 2",IF(Scrutateur!C42&lt;40,"Adulte",IF(Scrutateur!C42&lt;50,"Master 40+","Master 50+"))))))</f>
        <v/>
      </c>
      <c r="E42" s="77" t="str">
        <f>IF(Candidats!$M42="OUI",IF(Candidats!$N42="","","Parapole - "&amp;Candidats!$N42),IF(Candidats!$C42="","",IF(Candidats!$H42="",IF(OR($B42="Benjamin",$B42="Junior 1",$B42="Junior 2"),$B42,IF(Candidats!$F42="","",$B42&amp;" "&amp;Candidats!$F42)),IF(AND(COUNTIF($B42,"*Junior*")&gt;0,COUNTIF($D42,"*Junior*")&gt;0),"Double Juniors","Double Adultes"))))</f>
        <v/>
      </c>
    </row>
    <row r="43" spans="1:5" x14ac:dyDescent="0.2">
      <c r="A43" s="17" t="str">
        <f>IF(ISBLANK(Candidats!E43),"",DATEDIF(Candidats!E43,Listes!$E$2,"y"))</f>
        <v/>
      </c>
      <c r="B43" s="18" t="str">
        <f>IF(ISBLANK(Candidats!E43),"",IF(Scrutateur!A43&lt;10,"Benjamin",IF(Scrutateur!A43&lt;14,"Junior 1",IF(Scrutateur!A43&lt;18,"Junior 2",IF(Scrutateur!A43&lt;40,"Adulte",IF(Scrutateur!A43&lt;50,"Master 40+","Master 50+"))))))</f>
        <v/>
      </c>
      <c r="C43" s="23" t="str">
        <f>IF(ISBLANK(Candidats!J43),"",DATEDIF(Candidats!J43,Listes!$E$2,"y"))</f>
        <v/>
      </c>
      <c r="D43" s="24" t="str">
        <f>IF(ISBLANK(Candidats!J43),"",IF(Scrutateur!C43&lt;10,"Benjamin",IF(Scrutateur!C43&lt;14,"Junior 1",IF(Scrutateur!C43&lt;18,"Junior 2",IF(Scrutateur!C43&lt;40,"Adulte",IF(Scrutateur!C43&lt;50,"Master 40+","Master 50+"))))))</f>
        <v/>
      </c>
      <c r="E43" s="77" t="str">
        <f>IF(Candidats!$M43="OUI",IF(Candidats!$N43="","","Parapole - "&amp;Candidats!$N43),IF(Candidats!$C43="","",IF(Candidats!$H43="",IF(OR($B43="Benjamin",$B43="Junior 1",$B43="Junior 2"),$B43,IF(Candidats!$F43="","",$B43&amp;" "&amp;Candidats!$F43)),IF(AND(COUNTIF($B43,"*Junior*")&gt;0,COUNTIF($D43,"*Junior*")&gt;0),"Double Juniors","Double Adultes"))))</f>
        <v/>
      </c>
    </row>
    <row r="44" spans="1:5" x14ac:dyDescent="0.2">
      <c r="A44" s="17" t="str">
        <f>IF(ISBLANK(Candidats!E44),"",DATEDIF(Candidats!E44,Listes!$E$2,"y"))</f>
        <v/>
      </c>
      <c r="B44" s="18" t="str">
        <f>IF(ISBLANK(Candidats!E44),"",IF(Scrutateur!A44&lt;10,"Benjamin",IF(Scrutateur!A44&lt;14,"Junior 1",IF(Scrutateur!A44&lt;18,"Junior 2",IF(Scrutateur!A44&lt;40,"Adulte",IF(Scrutateur!A44&lt;50,"Master 40+","Master 50+"))))))</f>
        <v/>
      </c>
      <c r="C44" s="23" t="str">
        <f>IF(ISBLANK(Candidats!J44),"",DATEDIF(Candidats!J44,Listes!$E$2,"y"))</f>
        <v/>
      </c>
      <c r="D44" s="24" t="str">
        <f>IF(ISBLANK(Candidats!J44),"",IF(Scrutateur!C44&lt;10,"Benjamin",IF(Scrutateur!C44&lt;14,"Junior 1",IF(Scrutateur!C44&lt;18,"Junior 2",IF(Scrutateur!C44&lt;40,"Adulte",IF(Scrutateur!C44&lt;50,"Master 40+","Master 50+"))))))</f>
        <v/>
      </c>
      <c r="E44" s="77" t="str">
        <f>IF(Candidats!$M44="OUI",IF(Candidats!$N44="","","Parapole - "&amp;Candidats!$N44),IF(Candidats!$C44="","",IF(Candidats!$H44="",IF(OR($B44="Benjamin",$B44="Junior 1",$B44="Junior 2"),$B44,IF(Candidats!$F44="","",$B44&amp;" "&amp;Candidats!$F44)),IF(AND(COUNTIF($B44,"*Junior*")&gt;0,COUNTIF($D44,"*Junior*")&gt;0),"Double Juniors","Double Adultes"))))</f>
        <v/>
      </c>
    </row>
    <row r="45" spans="1:5" x14ac:dyDescent="0.2">
      <c r="A45" s="17" t="str">
        <f>IF(ISBLANK(Candidats!E45),"",DATEDIF(Candidats!E45,Listes!$E$2,"y"))</f>
        <v/>
      </c>
      <c r="B45" s="18" t="str">
        <f>IF(ISBLANK(Candidats!E45),"",IF(Scrutateur!A45&lt;10,"Benjamin",IF(Scrutateur!A45&lt;14,"Junior 1",IF(Scrutateur!A45&lt;18,"Junior 2",IF(Scrutateur!A45&lt;40,"Adulte",IF(Scrutateur!A45&lt;50,"Master 40+","Master 50+"))))))</f>
        <v/>
      </c>
      <c r="C45" s="23" t="str">
        <f>IF(ISBLANK(Candidats!J45),"",DATEDIF(Candidats!J45,Listes!$E$2,"y"))</f>
        <v/>
      </c>
      <c r="D45" s="24" t="str">
        <f>IF(ISBLANK(Candidats!J45),"",IF(Scrutateur!C45&lt;10,"Benjamin",IF(Scrutateur!C45&lt;14,"Junior 1",IF(Scrutateur!C45&lt;18,"Junior 2",IF(Scrutateur!C45&lt;40,"Adulte",IF(Scrutateur!C45&lt;50,"Master 40+","Master 50+"))))))</f>
        <v/>
      </c>
      <c r="E45" s="77" t="str">
        <f>IF(Candidats!$M45="OUI",IF(Candidats!$N45="","","Parapole - "&amp;Candidats!$N45),IF(Candidats!$C45="","",IF(Candidats!$H45="",IF(OR($B45="Benjamin",$B45="Junior 1",$B45="Junior 2"),$B45,IF(Candidats!$F45="","",$B45&amp;" "&amp;Candidats!$F45)),IF(AND(COUNTIF($B45,"*Junior*")&gt;0,COUNTIF($D45,"*Junior*")&gt;0),"Double Juniors","Double Adultes"))))</f>
        <v/>
      </c>
    </row>
    <row r="46" spans="1:5" x14ac:dyDescent="0.2">
      <c r="A46" s="17" t="str">
        <f>IF(ISBLANK(Candidats!E46),"",DATEDIF(Candidats!E46,Listes!$E$2,"y"))</f>
        <v/>
      </c>
      <c r="B46" s="18" t="str">
        <f>IF(ISBLANK(Candidats!E46),"",IF(Scrutateur!A46&lt;10,"Benjamin",IF(Scrutateur!A46&lt;14,"Junior 1",IF(Scrutateur!A46&lt;18,"Junior 2",IF(Scrutateur!A46&lt;40,"Adulte",IF(Scrutateur!A46&lt;50,"Master 40+","Master 50+"))))))</f>
        <v/>
      </c>
      <c r="C46" s="23" t="str">
        <f>IF(ISBLANK(Candidats!J46),"",DATEDIF(Candidats!J46,Listes!$E$2,"y"))</f>
        <v/>
      </c>
      <c r="D46" s="24" t="str">
        <f>IF(ISBLANK(Candidats!J46),"",IF(Scrutateur!C46&lt;10,"Benjamin",IF(Scrutateur!C46&lt;14,"Junior 1",IF(Scrutateur!C46&lt;18,"Junior 2",IF(Scrutateur!C46&lt;40,"Adulte",IF(Scrutateur!C46&lt;50,"Master 40+","Master 50+"))))))</f>
        <v/>
      </c>
      <c r="E46" s="77" t="str">
        <f>IF(Candidats!$M46="OUI",IF(Candidats!$N46="","","Parapole - "&amp;Candidats!$N46),IF(Candidats!$C46="","",IF(Candidats!$H46="",IF(OR($B46="Benjamin",$B46="Junior 1",$B46="Junior 2"),$B46,IF(Candidats!$F46="","",$B46&amp;" "&amp;Candidats!$F46)),IF(AND(COUNTIF($B46,"*Junior*")&gt;0,COUNTIF($D46,"*Junior*")&gt;0),"Double Juniors","Double Adultes"))))</f>
        <v/>
      </c>
    </row>
    <row r="47" spans="1:5" x14ac:dyDescent="0.2">
      <c r="A47" s="17" t="str">
        <f>IF(ISBLANK(Candidats!E47),"",DATEDIF(Candidats!E47,Listes!$E$2,"y"))</f>
        <v/>
      </c>
      <c r="B47" s="18" t="str">
        <f>IF(ISBLANK(Candidats!E47),"",IF(Scrutateur!A47&lt;10,"Benjamin",IF(Scrutateur!A47&lt;14,"Junior 1",IF(Scrutateur!A47&lt;18,"Junior 2",IF(Scrutateur!A47&lt;40,"Adulte",IF(Scrutateur!A47&lt;50,"Master 40+","Master 50+"))))))</f>
        <v/>
      </c>
      <c r="C47" s="23" t="str">
        <f>IF(ISBLANK(Candidats!J47),"",DATEDIF(Candidats!J47,Listes!$E$2,"y"))</f>
        <v/>
      </c>
      <c r="D47" s="24" t="str">
        <f>IF(ISBLANK(Candidats!J47),"",IF(Scrutateur!C47&lt;10,"Benjamin",IF(Scrutateur!C47&lt;14,"Junior 1",IF(Scrutateur!C47&lt;18,"Junior 2",IF(Scrutateur!C47&lt;40,"Adulte",IF(Scrutateur!C47&lt;50,"Master 40+","Master 50+"))))))</f>
        <v/>
      </c>
      <c r="E47" s="77" t="str">
        <f>IF(Candidats!$M47="OUI",IF(Candidats!$N47="","","Parapole - "&amp;Candidats!$N47),IF(Candidats!$C47="","",IF(Candidats!$H47="",IF(OR($B47="Benjamin",$B47="Junior 1",$B47="Junior 2"),$B47,IF(Candidats!$F47="","",$B47&amp;" "&amp;Candidats!$F47)),IF(AND(COUNTIF($B47,"*Junior*")&gt;0,COUNTIF($D47,"*Junior*")&gt;0),"Double Juniors","Double Adultes"))))</f>
        <v/>
      </c>
    </row>
    <row r="48" spans="1:5" x14ac:dyDescent="0.2">
      <c r="A48" s="17" t="str">
        <f>IF(ISBLANK(Candidats!E48),"",DATEDIF(Candidats!E48,Listes!$E$2,"y"))</f>
        <v/>
      </c>
      <c r="B48" s="18" t="str">
        <f>IF(ISBLANK(Candidats!E48),"",IF(Scrutateur!A48&lt;10,"Benjamin",IF(Scrutateur!A48&lt;14,"Junior 1",IF(Scrutateur!A48&lt;18,"Junior 2",IF(Scrutateur!A48&lt;40,"Adulte",IF(Scrutateur!A48&lt;50,"Master 40+","Master 50+"))))))</f>
        <v/>
      </c>
      <c r="C48" s="23" t="str">
        <f>IF(ISBLANK(Candidats!J48),"",DATEDIF(Candidats!J48,Listes!$E$2,"y"))</f>
        <v/>
      </c>
      <c r="D48" s="24" t="str">
        <f>IF(ISBLANK(Candidats!J48),"",IF(Scrutateur!C48&lt;10,"Benjamin",IF(Scrutateur!C48&lt;14,"Junior 1",IF(Scrutateur!C48&lt;18,"Junior 2",IF(Scrutateur!C48&lt;40,"Adulte",IF(Scrutateur!C48&lt;50,"Master 40+","Master 50+"))))))</f>
        <v/>
      </c>
      <c r="E48" s="77" t="str">
        <f>IF(Candidats!$M48="OUI",IF(Candidats!$N48="","","Parapole - "&amp;Candidats!$N48),IF(Candidats!$C48="","",IF(Candidats!$H48="",IF(OR($B48="Benjamin",$B48="Junior 1",$B48="Junior 2"),$B48,IF(Candidats!$F48="","",$B48&amp;" "&amp;Candidats!$F48)),IF(AND(COUNTIF($B48,"*Junior*")&gt;0,COUNTIF($D48,"*Junior*")&gt;0),"Double Juniors","Double Adultes"))))</f>
        <v/>
      </c>
    </row>
    <row r="49" spans="1:5" x14ac:dyDescent="0.2">
      <c r="A49" s="17" t="str">
        <f>IF(ISBLANK(Candidats!E49),"",DATEDIF(Candidats!E49,Listes!$E$2,"y"))</f>
        <v/>
      </c>
      <c r="B49" s="18" t="str">
        <f>IF(ISBLANK(Candidats!E49),"",IF(Scrutateur!A49&lt;10,"Benjamin",IF(Scrutateur!A49&lt;14,"Junior 1",IF(Scrutateur!A49&lt;18,"Junior 2",IF(Scrutateur!A49&lt;40,"Adulte",IF(Scrutateur!A49&lt;50,"Master 40+","Master 50+"))))))</f>
        <v/>
      </c>
      <c r="C49" s="23" t="str">
        <f>IF(ISBLANK(Candidats!J49),"",DATEDIF(Candidats!J49,Listes!$E$2,"y"))</f>
        <v/>
      </c>
      <c r="D49" s="24" t="str">
        <f>IF(ISBLANK(Candidats!J49),"",IF(Scrutateur!C49&lt;10,"Benjamin",IF(Scrutateur!C49&lt;14,"Junior 1",IF(Scrutateur!C49&lt;18,"Junior 2",IF(Scrutateur!C49&lt;40,"Adulte",IF(Scrutateur!C49&lt;50,"Master 40+","Master 50+"))))))</f>
        <v/>
      </c>
      <c r="E49" s="77" t="str">
        <f>IF(Candidats!$M49="OUI",IF(Candidats!$N49="","","Parapole - "&amp;Candidats!$N49),IF(Candidats!$C49="","",IF(Candidats!$H49="",IF(OR($B49="Benjamin",$B49="Junior 1",$B49="Junior 2"),$B49,IF(Candidats!$F49="","",$B49&amp;" "&amp;Candidats!$F49)),IF(AND(COUNTIF($B49,"*Junior*")&gt;0,COUNTIF($D49,"*Junior*")&gt;0),"Double Juniors","Double Adultes"))))</f>
        <v/>
      </c>
    </row>
    <row r="50" spans="1:5" x14ac:dyDescent="0.2">
      <c r="A50" s="17" t="str">
        <f>IF(ISBLANK(Candidats!E50),"",DATEDIF(Candidats!E50,Listes!$E$2,"y"))</f>
        <v/>
      </c>
      <c r="B50" s="18" t="str">
        <f>IF(ISBLANK(Candidats!E50),"",IF(Scrutateur!A50&lt;10,"Benjamin",IF(Scrutateur!A50&lt;14,"Junior 1",IF(Scrutateur!A50&lt;18,"Junior 2",IF(Scrutateur!A50&lt;40,"Adulte",IF(Scrutateur!A50&lt;50,"Master 40+","Master 50+"))))))</f>
        <v/>
      </c>
      <c r="C50" s="23" t="str">
        <f>IF(ISBLANK(Candidats!J50),"",DATEDIF(Candidats!J50,Listes!$E$2,"y"))</f>
        <v/>
      </c>
      <c r="D50" s="24" t="str">
        <f>IF(ISBLANK(Candidats!J50),"",IF(Scrutateur!C50&lt;10,"Benjamin",IF(Scrutateur!C50&lt;14,"Junior 1",IF(Scrutateur!C50&lt;18,"Junior 2",IF(Scrutateur!C50&lt;40,"Adulte",IF(Scrutateur!C50&lt;50,"Master 40+","Master 50+"))))))</f>
        <v/>
      </c>
      <c r="E50" s="77" t="str">
        <f>IF(Candidats!$M50="OUI",IF(Candidats!$N50="","","Parapole - "&amp;Candidats!$N50),IF(Candidats!$C50="","",IF(Candidats!$H50="",IF(OR($B50="Benjamin",$B50="Junior 1",$B50="Junior 2"),$B50,IF(Candidats!$F50="","",$B50&amp;" "&amp;Candidats!$F50)),IF(AND(COUNTIF($B50,"*Junior*")&gt;0,COUNTIF($D50,"*Junior*")&gt;0),"Double Juniors","Double Adultes"))))</f>
        <v/>
      </c>
    </row>
    <row r="51" spans="1:5" x14ac:dyDescent="0.2">
      <c r="A51" s="17" t="str">
        <f>IF(ISBLANK(Candidats!E51),"",DATEDIF(Candidats!E51,Listes!$E$2,"y"))</f>
        <v/>
      </c>
      <c r="B51" s="18" t="str">
        <f>IF(ISBLANK(Candidats!E51),"",IF(Scrutateur!A51&lt;10,"Benjamin",IF(Scrutateur!A51&lt;14,"Junior 1",IF(Scrutateur!A51&lt;18,"Junior 2",IF(Scrutateur!A51&lt;40,"Adulte",IF(Scrutateur!A51&lt;50,"Master 40+","Master 50+"))))))</f>
        <v/>
      </c>
      <c r="C51" s="23" t="str">
        <f>IF(ISBLANK(Candidats!J51),"",DATEDIF(Candidats!J51,Listes!$E$2,"y"))</f>
        <v/>
      </c>
      <c r="D51" s="24" t="str">
        <f>IF(ISBLANK(Candidats!J51),"",IF(Scrutateur!C51&lt;10,"Benjamin",IF(Scrutateur!C51&lt;14,"Junior 1",IF(Scrutateur!C51&lt;18,"Junior 2",IF(Scrutateur!C51&lt;40,"Adulte",IF(Scrutateur!C51&lt;50,"Master 40+","Master 50+"))))))</f>
        <v/>
      </c>
      <c r="E51" s="77" t="str">
        <f>IF(Candidats!$M51="OUI",IF(Candidats!$N51="","","Parapole - "&amp;Candidats!$N51),IF(Candidats!$C51="","",IF(Candidats!$H51="",IF(OR($B51="Benjamin",$B51="Junior 1",$B51="Junior 2"),$B51,IF(Candidats!$F51="","",$B51&amp;" "&amp;Candidats!$F51)),IF(AND(COUNTIF($B51,"*Junior*")&gt;0,COUNTIF($D51,"*Junior*")&gt;0),"Double Juniors","Double Adultes"))))</f>
        <v/>
      </c>
    </row>
    <row r="52" spans="1:5" x14ac:dyDescent="0.2">
      <c r="A52" s="17" t="str">
        <f>IF(ISBLANK(Candidats!E52),"",DATEDIF(Candidats!E52,Listes!$E$2,"y"))</f>
        <v/>
      </c>
      <c r="B52" s="18" t="str">
        <f>IF(ISBLANK(Candidats!E52),"",IF(Scrutateur!A52&lt;10,"Benjamin",IF(Scrutateur!A52&lt;14,"Junior 1",IF(Scrutateur!A52&lt;18,"Junior 2",IF(Scrutateur!A52&lt;40,"Adulte",IF(Scrutateur!A52&lt;50,"Master 40+","Master 50+"))))))</f>
        <v/>
      </c>
      <c r="C52" s="23" t="str">
        <f>IF(ISBLANK(Candidats!J52),"",DATEDIF(Candidats!J52,Listes!$E$2,"y"))</f>
        <v/>
      </c>
      <c r="D52" s="24" t="str">
        <f>IF(ISBLANK(Candidats!J52),"",IF(Scrutateur!C52&lt;10,"Benjamin",IF(Scrutateur!C52&lt;14,"Junior 1",IF(Scrutateur!C52&lt;18,"Junior 2",IF(Scrutateur!C52&lt;40,"Adulte",IF(Scrutateur!C52&lt;50,"Master 40+","Master 50+"))))))</f>
        <v/>
      </c>
      <c r="E52" s="77" t="str">
        <f>IF(Candidats!$M52="OUI",IF(Candidats!$N52="","","Parapole - "&amp;Candidats!$N52),IF(Candidats!$C52="","",IF(Candidats!$H52="",IF(OR($B52="Benjamin",$B52="Junior 1",$B52="Junior 2"),$B52,IF(Candidats!$F52="","",$B52&amp;" "&amp;Candidats!$F52)),IF(AND(COUNTIF($B52,"*Junior*")&gt;0,COUNTIF($D52,"*Junior*")&gt;0),"Double Juniors","Double Adultes"))))</f>
        <v/>
      </c>
    </row>
    <row r="53" spans="1:5" x14ac:dyDescent="0.2">
      <c r="A53" s="17" t="str">
        <f>IF(ISBLANK(Candidats!E53),"",DATEDIF(Candidats!E53,Listes!$E$2,"y"))</f>
        <v/>
      </c>
      <c r="B53" s="18" t="str">
        <f>IF(ISBLANK(Candidats!E53),"",IF(Scrutateur!A53&lt;10,"Benjamin",IF(Scrutateur!A53&lt;14,"Junior 1",IF(Scrutateur!A53&lt;18,"Junior 2",IF(Scrutateur!A53&lt;40,"Adulte",IF(Scrutateur!A53&lt;50,"Master 40+","Master 50+"))))))</f>
        <v/>
      </c>
      <c r="C53" s="23" t="str">
        <f>IF(ISBLANK(Candidats!J53),"",DATEDIF(Candidats!J53,Listes!$E$2,"y"))</f>
        <v/>
      </c>
      <c r="D53" s="24" t="str">
        <f>IF(ISBLANK(Candidats!J53),"",IF(Scrutateur!C53&lt;10,"Benjamin",IF(Scrutateur!C53&lt;14,"Junior 1",IF(Scrutateur!C53&lt;18,"Junior 2",IF(Scrutateur!C53&lt;40,"Adulte",IF(Scrutateur!C53&lt;50,"Master 40+","Master 50+"))))))</f>
        <v/>
      </c>
      <c r="E53" s="77" t="str">
        <f>IF(Candidats!$M53="OUI",IF(Candidats!$N53="","","Parapole - "&amp;Candidats!$N53),IF(Candidats!$C53="","",IF(Candidats!$H53="",IF(OR($B53="Benjamin",$B53="Junior 1",$B53="Junior 2"),$B53,IF(Candidats!$F53="","",$B53&amp;" "&amp;Candidats!$F53)),IF(AND(COUNTIF($B53,"*Junior*")&gt;0,COUNTIF($D53,"*Junior*")&gt;0),"Double Juniors","Double Adultes"))))</f>
        <v/>
      </c>
    </row>
    <row r="54" spans="1:5" x14ac:dyDescent="0.2">
      <c r="A54" s="17" t="str">
        <f>IF(ISBLANK(Candidats!E54),"",DATEDIF(Candidats!E54,Listes!$E$2,"y"))</f>
        <v/>
      </c>
      <c r="B54" s="18" t="str">
        <f>IF(ISBLANK(Candidats!E54),"",IF(Scrutateur!A54&lt;10,"Benjamin",IF(Scrutateur!A54&lt;14,"Junior 1",IF(Scrutateur!A54&lt;18,"Junior 2",IF(Scrutateur!A54&lt;40,"Adulte",IF(Scrutateur!A54&lt;50,"Master 40+","Master 50+"))))))</f>
        <v/>
      </c>
      <c r="C54" s="23" t="str">
        <f>IF(ISBLANK(Candidats!J54),"",DATEDIF(Candidats!J54,Listes!$E$2,"y"))</f>
        <v/>
      </c>
      <c r="D54" s="24" t="str">
        <f>IF(ISBLANK(Candidats!J54),"",IF(Scrutateur!C54&lt;10,"Benjamin",IF(Scrutateur!C54&lt;14,"Junior 1",IF(Scrutateur!C54&lt;18,"Junior 2",IF(Scrutateur!C54&lt;40,"Adulte",IF(Scrutateur!C54&lt;50,"Master 40+","Master 50+"))))))</f>
        <v/>
      </c>
      <c r="E54" s="77" t="str">
        <f>IF(Candidats!$M54="OUI",IF(Candidats!$N54="","","Parapole - "&amp;Candidats!$N54),IF(Candidats!$C54="","",IF(Candidats!$H54="",IF(OR($B54="Benjamin",$B54="Junior 1",$B54="Junior 2"),$B54,IF(Candidats!$F54="","",$B54&amp;" "&amp;Candidats!$F54)),IF(AND(COUNTIF($B54,"*Junior*")&gt;0,COUNTIF($D54,"*Junior*")&gt;0),"Double Juniors","Double Adultes"))))</f>
        <v/>
      </c>
    </row>
    <row r="55" spans="1:5" x14ac:dyDescent="0.2">
      <c r="A55" s="17" t="str">
        <f>IF(ISBLANK(Candidats!E55),"",DATEDIF(Candidats!E55,Listes!$E$2,"y"))</f>
        <v/>
      </c>
      <c r="B55" s="18" t="str">
        <f>IF(ISBLANK(Candidats!E55),"",IF(Scrutateur!A55&lt;10,"Benjamin",IF(Scrutateur!A55&lt;14,"Junior 1",IF(Scrutateur!A55&lt;18,"Junior 2",IF(Scrutateur!A55&lt;40,"Adulte",IF(Scrutateur!A55&lt;50,"Master 40+","Master 50+"))))))</f>
        <v/>
      </c>
      <c r="C55" s="23" t="str">
        <f>IF(ISBLANK(Candidats!J55),"",DATEDIF(Candidats!J55,Listes!$E$2,"y"))</f>
        <v/>
      </c>
      <c r="D55" s="24" t="str">
        <f>IF(ISBLANK(Candidats!J55),"",IF(Scrutateur!C55&lt;10,"Benjamin",IF(Scrutateur!C55&lt;14,"Junior 1",IF(Scrutateur!C55&lt;18,"Junior 2",IF(Scrutateur!C55&lt;40,"Adulte",IF(Scrutateur!C55&lt;50,"Master 40+","Master 50+"))))))</f>
        <v/>
      </c>
      <c r="E55" s="77" t="str">
        <f>IF(Candidats!$M55="OUI",IF(Candidats!$N55="","","Parapole - "&amp;Candidats!$N55),IF(Candidats!$C55="","",IF(Candidats!$H55="",IF(OR($B55="Benjamin",$B55="Junior 1",$B55="Junior 2"),$B55,IF(Candidats!$F55="","",$B55&amp;" "&amp;Candidats!$F55)),IF(AND(COUNTIF($B55,"*Junior*")&gt;0,COUNTIF($D55,"*Junior*")&gt;0),"Double Juniors","Double Adultes"))))</f>
        <v/>
      </c>
    </row>
    <row r="56" spans="1:5" x14ac:dyDescent="0.2">
      <c r="A56" s="17" t="str">
        <f>IF(ISBLANK(Candidats!E56),"",DATEDIF(Candidats!E56,Listes!$E$2,"y"))</f>
        <v/>
      </c>
      <c r="B56" s="18" t="str">
        <f>IF(ISBLANK(Candidats!E56),"",IF(Scrutateur!A56&lt;10,"Benjamin",IF(Scrutateur!A56&lt;14,"Junior 1",IF(Scrutateur!A56&lt;18,"Junior 2",IF(Scrutateur!A56&lt;40,"Adulte",IF(Scrutateur!A56&lt;50,"Master 40+","Master 50+"))))))</f>
        <v/>
      </c>
      <c r="C56" s="23" t="str">
        <f>IF(ISBLANK(Candidats!J56),"",DATEDIF(Candidats!J56,Listes!$E$2,"y"))</f>
        <v/>
      </c>
      <c r="D56" s="24" t="str">
        <f>IF(ISBLANK(Candidats!J56),"",IF(Scrutateur!C56&lt;10,"Benjamin",IF(Scrutateur!C56&lt;14,"Junior 1",IF(Scrutateur!C56&lt;18,"Junior 2",IF(Scrutateur!C56&lt;40,"Adulte",IF(Scrutateur!C56&lt;50,"Master 40+","Master 50+"))))))</f>
        <v/>
      </c>
      <c r="E56" s="77" t="str">
        <f>IF(Candidats!$M56="OUI",IF(Candidats!$N56="","","Parapole - "&amp;Candidats!$N56),IF(Candidats!$C56="","",IF(Candidats!$H56="",IF(OR($B56="Benjamin",$B56="Junior 1",$B56="Junior 2"),$B56,IF(Candidats!$F56="","",$B56&amp;" "&amp;Candidats!$F56)),IF(AND(COUNTIF($B56,"*Junior*")&gt;0,COUNTIF($D56,"*Junior*")&gt;0),"Double Juniors","Double Adultes"))))</f>
        <v/>
      </c>
    </row>
    <row r="57" spans="1:5" x14ac:dyDescent="0.2">
      <c r="A57" s="17" t="str">
        <f>IF(ISBLANK(Candidats!E57),"",DATEDIF(Candidats!E57,Listes!$E$2,"y"))</f>
        <v/>
      </c>
      <c r="B57" s="18" t="str">
        <f>IF(ISBLANK(Candidats!E57),"",IF(Scrutateur!A57&lt;10,"Benjamin",IF(Scrutateur!A57&lt;14,"Junior 1",IF(Scrutateur!A57&lt;18,"Junior 2",IF(Scrutateur!A57&lt;40,"Adulte",IF(Scrutateur!A57&lt;50,"Master 40+","Master 50+"))))))</f>
        <v/>
      </c>
      <c r="C57" s="23" t="str">
        <f>IF(ISBLANK(Candidats!J57),"",DATEDIF(Candidats!J57,Listes!$E$2,"y"))</f>
        <v/>
      </c>
      <c r="D57" s="24" t="str">
        <f>IF(ISBLANK(Candidats!J57),"",IF(Scrutateur!C57&lt;10,"Benjamin",IF(Scrutateur!C57&lt;14,"Junior 1",IF(Scrutateur!C57&lt;18,"Junior 2",IF(Scrutateur!C57&lt;40,"Adulte",IF(Scrutateur!C57&lt;50,"Master 40+","Master 50+"))))))</f>
        <v/>
      </c>
      <c r="E57" s="77" t="str">
        <f>IF(Candidats!$M57="OUI",IF(Candidats!$N57="","","Parapole - "&amp;Candidats!$N57),IF(Candidats!$C57="","",IF(Candidats!$H57="",IF(OR($B57="Benjamin",$B57="Junior 1",$B57="Junior 2"),$B57,IF(Candidats!$F57="","",$B57&amp;" "&amp;Candidats!$F57)),IF(AND(COUNTIF($B57,"*Junior*")&gt;0,COUNTIF($D57,"*Junior*")&gt;0),"Double Juniors","Double Adultes"))))</f>
        <v/>
      </c>
    </row>
    <row r="58" spans="1:5" x14ac:dyDescent="0.2">
      <c r="A58" s="17" t="str">
        <f>IF(ISBLANK(Candidats!E58),"",DATEDIF(Candidats!E58,Listes!$E$2,"y"))</f>
        <v/>
      </c>
      <c r="B58" s="18" t="str">
        <f>IF(ISBLANK(Candidats!E58),"",IF(Scrutateur!A58&lt;10,"Benjamin",IF(Scrutateur!A58&lt;14,"Junior 1",IF(Scrutateur!A58&lt;18,"Junior 2",IF(Scrutateur!A58&lt;40,"Adulte",IF(Scrutateur!A58&lt;50,"Master 40+","Master 50+"))))))</f>
        <v/>
      </c>
      <c r="C58" s="23" t="str">
        <f>IF(ISBLANK(Candidats!J58),"",DATEDIF(Candidats!J58,Listes!$E$2,"y"))</f>
        <v/>
      </c>
      <c r="D58" s="24" t="str">
        <f>IF(ISBLANK(Candidats!J58),"",IF(Scrutateur!C58&lt;10,"Benjamin",IF(Scrutateur!C58&lt;14,"Junior 1",IF(Scrutateur!C58&lt;18,"Junior 2",IF(Scrutateur!C58&lt;40,"Adulte",IF(Scrutateur!C58&lt;50,"Master 40+","Master 50+"))))))</f>
        <v/>
      </c>
      <c r="E58" s="77" t="str">
        <f>IF(Candidats!$M58="OUI",IF(Candidats!$N58="","","Parapole - "&amp;Candidats!$N58),IF(Candidats!$C58="","",IF(Candidats!$H58="",IF(OR($B58="Benjamin",$B58="Junior 1",$B58="Junior 2"),$B58,IF(Candidats!$F58="","",$B58&amp;" "&amp;Candidats!$F58)),IF(AND(COUNTIF($B58,"*Junior*")&gt;0,COUNTIF($D58,"*Junior*")&gt;0),"Double Juniors","Double Adultes"))))</f>
        <v/>
      </c>
    </row>
    <row r="59" spans="1:5" x14ac:dyDescent="0.2">
      <c r="A59" s="17" t="str">
        <f>IF(ISBLANK(Candidats!E59),"",DATEDIF(Candidats!E59,Listes!$E$2,"y"))</f>
        <v/>
      </c>
      <c r="B59" s="18" t="str">
        <f>IF(ISBLANK(Candidats!E59),"",IF(Scrutateur!A59&lt;10,"Benjamin",IF(Scrutateur!A59&lt;14,"Junior 1",IF(Scrutateur!A59&lt;18,"Junior 2",IF(Scrutateur!A59&lt;40,"Adulte",IF(Scrutateur!A59&lt;50,"Master 40+","Master 50+"))))))</f>
        <v/>
      </c>
      <c r="C59" s="23" t="str">
        <f>IF(ISBLANK(Candidats!J59),"",DATEDIF(Candidats!J59,Listes!$E$2,"y"))</f>
        <v/>
      </c>
      <c r="D59" s="24" t="str">
        <f>IF(ISBLANK(Candidats!J59),"",IF(Scrutateur!C59&lt;10,"Benjamin",IF(Scrutateur!C59&lt;14,"Junior 1",IF(Scrutateur!C59&lt;18,"Junior 2",IF(Scrutateur!C59&lt;40,"Adulte",IF(Scrutateur!C59&lt;50,"Master 40+","Master 50+"))))))</f>
        <v/>
      </c>
      <c r="E59" s="77" t="str">
        <f>IF(Candidats!$M59="OUI",IF(Candidats!$N59="","","Parapole - "&amp;Candidats!$N59),IF(Candidats!$C59="","",IF(Candidats!$H59="",IF(OR($B59="Benjamin",$B59="Junior 1",$B59="Junior 2"),$B59,IF(Candidats!$F59="","",$B59&amp;" "&amp;Candidats!$F59)),IF(AND(COUNTIF($B59,"*Junior*")&gt;0,COUNTIF($D59,"*Junior*")&gt;0),"Double Juniors","Double Adultes"))))</f>
        <v/>
      </c>
    </row>
    <row r="60" spans="1:5" x14ac:dyDescent="0.2">
      <c r="A60" s="17" t="str">
        <f>IF(ISBLANK(Candidats!E60),"",DATEDIF(Candidats!E60,Listes!$E$2,"y"))</f>
        <v/>
      </c>
      <c r="B60" s="18" t="str">
        <f>IF(ISBLANK(Candidats!E60),"",IF(Scrutateur!A60&lt;10,"Benjamin",IF(Scrutateur!A60&lt;14,"Junior 1",IF(Scrutateur!A60&lt;18,"Junior 2",IF(Scrutateur!A60&lt;40,"Adulte",IF(Scrutateur!A60&lt;50,"Master 40+","Master 50+"))))))</f>
        <v/>
      </c>
      <c r="C60" s="23" t="str">
        <f>IF(ISBLANK(Candidats!J60),"",DATEDIF(Candidats!J60,Listes!$E$2,"y"))</f>
        <v/>
      </c>
      <c r="D60" s="24" t="str">
        <f>IF(ISBLANK(Candidats!J60),"",IF(Scrutateur!C60&lt;10,"Benjamin",IF(Scrutateur!C60&lt;14,"Junior 1",IF(Scrutateur!C60&lt;18,"Junior 2",IF(Scrutateur!C60&lt;40,"Adulte",IF(Scrutateur!C60&lt;50,"Master 40+","Master 50+"))))))</f>
        <v/>
      </c>
      <c r="E60" s="77" t="str">
        <f>IF(Candidats!$M60="OUI",IF(Candidats!$N60="","","Parapole - "&amp;Candidats!$N60),IF(Candidats!$C60="","",IF(Candidats!$H60="",IF(OR($B60="Benjamin",$B60="Junior 1",$B60="Junior 2"),$B60,IF(Candidats!$F60="","",$B60&amp;" "&amp;Candidats!$F60)),IF(AND(COUNTIF($B60,"*Junior*")&gt;0,COUNTIF($D60,"*Junior*")&gt;0),"Double Juniors","Double Adultes"))))</f>
        <v/>
      </c>
    </row>
    <row r="61" spans="1:5" x14ac:dyDescent="0.2">
      <c r="A61" s="17" t="str">
        <f>IF(ISBLANK(Candidats!E61),"",DATEDIF(Candidats!E61,Listes!$E$2,"y"))</f>
        <v/>
      </c>
      <c r="B61" s="18" t="str">
        <f>IF(ISBLANK(Candidats!E61),"",IF(Scrutateur!A61&lt;10,"Benjamin",IF(Scrutateur!A61&lt;14,"Junior 1",IF(Scrutateur!A61&lt;18,"Junior 2",IF(Scrutateur!A61&lt;40,"Adulte",IF(Scrutateur!A61&lt;50,"Master 40+","Master 50+"))))))</f>
        <v/>
      </c>
      <c r="C61" s="23" t="str">
        <f>IF(ISBLANK(Candidats!J61),"",DATEDIF(Candidats!J61,Listes!$E$2,"y"))</f>
        <v/>
      </c>
      <c r="D61" s="24" t="str">
        <f>IF(ISBLANK(Candidats!J61),"",IF(Scrutateur!C61&lt;10,"Benjamin",IF(Scrutateur!C61&lt;14,"Junior 1",IF(Scrutateur!C61&lt;18,"Junior 2",IF(Scrutateur!C61&lt;40,"Adulte",IF(Scrutateur!C61&lt;50,"Master 40+","Master 50+"))))))</f>
        <v/>
      </c>
      <c r="E61" s="77" t="str">
        <f>IF(Candidats!$M61="OUI",IF(Candidats!$N61="","","Parapole - "&amp;Candidats!$N61),IF(Candidats!$C61="","",IF(Candidats!$H61="",IF(OR($B61="Benjamin",$B61="Junior 1",$B61="Junior 2"),$B61,IF(Candidats!$F61="","",$B61&amp;" "&amp;Candidats!$F61)),IF(AND(COUNTIF($B61,"*Junior*")&gt;0,COUNTIF($D61,"*Junior*")&gt;0),"Double Juniors","Double Adultes"))))</f>
        <v/>
      </c>
    </row>
    <row r="62" spans="1:5" x14ac:dyDescent="0.2">
      <c r="A62" s="17" t="str">
        <f>IF(ISBLANK(Candidats!E62),"",DATEDIF(Candidats!E62,Listes!$E$2,"y"))</f>
        <v/>
      </c>
      <c r="B62" s="18" t="str">
        <f>IF(ISBLANK(Candidats!E62),"",IF(Scrutateur!A62&lt;10,"Benjamin",IF(Scrutateur!A62&lt;14,"Junior 1",IF(Scrutateur!A62&lt;18,"Junior 2",IF(Scrutateur!A62&lt;40,"Adulte",IF(Scrutateur!A62&lt;50,"Master 40+","Master 50+"))))))</f>
        <v/>
      </c>
      <c r="C62" s="23" t="str">
        <f>IF(ISBLANK(Candidats!J62),"",DATEDIF(Candidats!J62,Listes!$E$2,"y"))</f>
        <v/>
      </c>
      <c r="D62" s="24" t="str">
        <f>IF(ISBLANK(Candidats!J62),"",IF(Scrutateur!C62&lt;10,"Benjamin",IF(Scrutateur!C62&lt;14,"Junior 1",IF(Scrutateur!C62&lt;18,"Junior 2",IF(Scrutateur!C62&lt;40,"Adulte",IF(Scrutateur!C62&lt;50,"Master 40+","Master 50+"))))))</f>
        <v/>
      </c>
      <c r="E62" s="77" t="str">
        <f>IF(Candidats!$M62="OUI",IF(Candidats!$N62="","","Parapole - "&amp;Candidats!$N62),IF(Candidats!$C62="","",IF(Candidats!$H62="",IF(OR($B62="Benjamin",$B62="Junior 1",$B62="Junior 2"),$B62,IF(Candidats!$F62="","",$B62&amp;" "&amp;Candidats!$F62)),IF(AND(COUNTIF($B62,"*Junior*")&gt;0,COUNTIF($D62,"*Junior*")&gt;0),"Double Juniors","Double Adultes"))))</f>
        <v/>
      </c>
    </row>
    <row r="63" spans="1:5" x14ac:dyDescent="0.2">
      <c r="A63" s="17" t="str">
        <f>IF(ISBLANK(Candidats!E63),"",DATEDIF(Candidats!E63,Listes!$E$2,"y"))</f>
        <v/>
      </c>
      <c r="B63" s="18" t="str">
        <f>IF(ISBLANK(Candidats!E63),"",IF(Scrutateur!A63&lt;10,"Benjamin",IF(Scrutateur!A63&lt;14,"Junior 1",IF(Scrutateur!A63&lt;18,"Junior 2",IF(Scrutateur!A63&lt;40,"Adulte",IF(Scrutateur!A63&lt;50,"Master 40+","Master 50+"))))))</f>
        <v/>
      </c>
      <c r="C63" s="23" t="str">
        <f>IF(ISBLANK(Candidats!J63),"",DATEDIF(Candidats!J63,Listes!$E$2,"y"))</f>
        <v/>
      </c>
      <c r="D63" s="24" t="str">
        <f>IF(ISBLANK(Candidats!J63),"",IF(Scrutateur!C63&lt;10,"Benjamin",IF(Scrutateur!C63&lt;14,"Junior 1",IF(Scrutateur!C63&lt;18,"Junior 2",IF(Scrutateur!C63&lt;40,"Adulte",IF(Scrutateur!C63&lt;50,"Master 40+","Master 50+"))))))</f>
        <v/>
      </c>
      <c r="E63" s="77" t="str">
        <f>IF(Candidats!$M63="OUI",IF(Candidats!$N63="","","Parapole - "&amp;Candidats!$N63),IF(Candidats!$C63="","",IF(Candidats!$H63="",IF(OR($B63="Benjamin",$B63="Junior 1",$B63="Junior 2"),$B63,IF(Candidats!$F63="","",$B63&amp;" "&amp;Candidats!$F63)),IF(AND(COUNTIF($B63,"*Junior*")&gt;0,COUNTIF($D63,"*Junior*")&gt;0),"Double Juniors","Double Adultes"))))</f>
        <v/>
      </c>
    </row>
    <row r="64" spans="1:5" x14ac:dyDescent="0.2">
      <c r="A64" s="17" t="str">
        <f>IF(ISBLANK(Candidats!E64),"",DATEDIF(Candidats!E64,Listes!$E$2,"y"))</f>
        <v/>
      </c>
      <c r="B64" s="18" t="str">
        <f>IF(ISBLANK(Candidats!E64),"",IF(Scrutateur!A64&lt;10,"Benjamin",IF(Scrutateur!A64&lt;14,"Junior 1",IF(Scrutateur!A64&lt;18,"Junior 2",IF(Scrutateur!A64&lt;40,"Adulte",IF(Scrutateur!A64&lt;50,"Master 40+","Master 50+"))))))</f>
        <v/>
      </c>
      <c r="C64" s="23" t="str">
        <f>IF(ISBLANK(Candidats!J64),"",DATEDIF(Candidats!J64,Listes!$E$2,"y"))</f>
        <v/>
      </c>
      <c r="D64" s="24" t="str">
        <f>IF(ISBLANK(Candidats!J64),"",IF(Scrutateur!C64&lt;10,"Benjamin",IF(Scrutateur!C64&lt;14,"Junior 1",IF(Scrutateur!C64&lt;18,"Junior 2",IF(Scrutateur!C64&lt;40,"Adulte",IF(Scrutateur!C64&lt;50,"Master 40+","Master 50+"))))))</f>
        <v/>
      </c>
      <c r="E64" s="77" t="str">
        <f>IF(Candidats!$M64="OUI",IF(Candidats!$N64="","","Parapole - "&amp;Candidats!$N64),IF(Candidats!$C64="","",IF(Candidats!$H64="",IF(OR($B64="Benjamin",$B64="Junior 1",$B64="Junior 2"),$B64,IF(Candidats!$F64="","",$B64&amp;" "&amp;Candidats!$F64)),IF(AND(COUNTIF($B64,"*Junior*")&gt;0,COUNTIF($D64,"*Junior*")&gt;0),"Double Juniors","Double Adultes"))))</f>
        <v/>
      </c>
    </row>
    <row r="65" spans="1:5" x14ac:dyDescent="0.2">
      <c r="A65" s="17" t="str">
        <f>IF(ISBLANK(Candidats!E65),"",DATEDIF(Candidats!E65,Listes!$E$2,"y"))</f>
        <v/>
      </c>
      <c r="B65" s="18" t="str">
        <f>IF(ISBLANK(Candidats!E65),"",IF(Scrutateur!A65&lt;10,"Benjamin",IF(Scrutateur!A65&lt;14,"Junior 1",IF(Scrutateur!A65&lt;18,"Junior 2",IF(Scrutateur!A65&lt;40,"Adulte",IF(Scrutateur!A65&lt;50,"Master 40+","Master 50+"))))))</f>
        <v/>
      </c>
      <c r="C65" s="23" t="str">
        <f>IF(ISBLANK(Candidats!J65),"",DATEDIF(Candidats!J65,Listes!$E$2,"y"))</f>
        <v/>
      </c>
      <c r="D65" s="24" t="str">
        <f>IF(ISBLANK(Candidats!J65),"",IF(Scrutateur!C65&lt;10,"Benjamin",IF(Scrutateur!C65&lt;14,"Junior 1",IF(Scrutateur!C65&lt;18,"Junior 2",IF(Scrutateur!C65&lt;40,"Adulte",IF(Scrutateur!C65&lt;50,"Master 40+","Master 50+"))))))</f>
        <v/>
      </c>
      <c r="E65" s="77" t="str">
        <f>IF(Candidats!$M65="OUI",IF(Candidats!$N65="","","Parapole - "&amp;Candidats!$N65),IF(Candidats!$C65="","",IF(Candidats!$H65="",IF(OR($B65="Benjamin",$B65="Junior 1",$B65="Junior 2"),$B65,IF(Candidats!$F65="","",$B65&amp;" "&amp;Candidats!$F65)),IF(AND(COUNTIF($B65,"*Junior*")&gt;0,COUNTIF($D65,"*Junior*")&gt;0),"Double Juniors","Double Adultes"))))</f>
        <v/>
      </c>
    </row>
    <row r="66" spans="1:5" x14ac:dyDescent="0.2">
      <c r="A66" s="17" t="str">
        <f>IF(ISBLANK(Candidats!E66),"",DATEDIF(Candidats!E66,Listes!$E$2,"y"))</f>
        <v/>
      </c>
      <c r="B66" s="18" t="str">
        <f>IF(ISBLANK(Candidats!E66),"",IF(Scrutateur!A66&lt;10,"Benjamin",IF(Scrutateur!A66&lt;14,"Junior 1",IF(Scrutateur!A66&lt;18,"Junior 2",IF(Scrutateur!A66&lt;40,"Adulte",IF(Scrutateur!A66&lt;50,"Master 40+","Master 50+"))))))</f>
        <v/>
      </c>
      <c r="C66" s="23" t="str">
        <f>IF(ISBLANK(Candidats!J66),"",DATEDIF(Candidats!J66,Listes!$E$2,"y"))</f>
        <v/>
      </c>
      <c r="D66" s="24" t="str">
        <f>IF(ISBLANK(Candidats!J66),"",IF(Scrutateur!C66&lt;10,"Benjamin",IF(Scrutateur!C66&lt;14,"Junior 1",IF(Scrutateur!C66&lt;18,"Junior 2",IF(Scrutateur!C66&lt;40,"Adulte",IF(Scrutateur!C66&lt;50,"Master 40+","Master 50+"))))))</f>
        <v/>
      </c>
      <c r="E66" s="77" t="str">
        <f>IF(Candidats!$M66="OUI",IF(Candidats!$N66="","","Parapole - "&amp;Candidats!$N66),IF(Candidats!$C66="","",IF(Candidats!$H66="",IF(OR($B66="Benjamin",$B66="Junior 1",$B66="Junior 2"),$B66,IF(Candidats!$F66="","",$B66&amp;" "&amp;Candidats!$F66)),IF(AND(COUNTIF($B66,"*Junior*")&gt;0,COUNTIF($D66,"*Junior*")&gt;0),"Double Juniors","Double Adultes"))))</f>
        <v/>
      </c>
    </row>
    <row r="67" spans="1:5" x14ac:dyDescent="0.2">
      <c r="A67" s="17" t="str">
        <f>IF(ISBLANK(Candidats!E67),"",DATEDIF(Candidats!E67,Listes!$E$2,"y"))</f>
        <v/>
      </c>
      <c r="B67" s="18" t="str">
        <f>IF(ISBLANK(Candidats!E67),"",IF(Scrutateur!A67&lt;10,"Benjamin",IF(Scrutateur!A67&lt;14,"Junior 1",IF(Scrutateur!A67&lt;18,"Junior 2",IF(Scrutateur!A67&lt;40,"Adulte",IF(Scrutateur!A67&lt;50,"Master 40+","Master 50+"))))))</f>
        <v/>
      </c>
      <c r="C67" s="23" t="str">
        <f>IF(ISBLANK(Candidats!J67),"",DATEDIF(Candidats!J67,Listes!$E$2,"y"))</f>
        <v/>
      </c>
      <c r="D67" s="24" t="str">
        <f>IF(ISBLANK(Candidats!J67),"",IF(Scrutateur!C67&lt;10,"Benjamin",IF(Scrutateur!C67&lt;14,"Junior 1",IF(Scrutateur!C67&lt;18,"Junior 2",IF(Scrutateur!C67&lt;40,"Adulte",IF(Scrutateur!C67&lt;50,"Master 40+","Master 50+"))))))</f>
        <v/>
      </c>
      <c r="E67" s="77" t="str">
        <f>IF(Candidats!$M67="OUI",IF(Candidats!$N67="","","Parapole - "&amp;Candidats!$N67),IF(Candidats!$C67="","",IF(Candidats!$H67="",IF(OR($B67="Benjamin",$B67="Junior 1",$B67="Junior 2"),$B67,IF(Candidats!$F67="","",$B67&amp;" "&amp;Candidats!$F67)),IF(AND(COUNTIF($B67,"*Junior*")&gt;0,COUNTIF($D67,"*Junior*")&gt;0),"Double Juniors","Double Adultes"))))</f>
        <v/>
      </c>
    </row>
    <row r="68" spans="1:5" x14ac:dyDescent="0.2">
      <c r="A68" s="17" t="str">
        <f>IF(ISBLANK(Candidats!E68),"",DATEDIF(Candidats!E68,Listes!$E$2,"y"))</f>
        <v/>
      </c>
      <c r="B68" s="18" t="str">
        <f>IF(ISBLANK(Candidats!E68),"",IF(Scrutateur!A68&lt;10,"Benjamin",IF(Scrutateur!A68&lt;14,"Junior 1",IF(Scrutateur!A68&lt;18,"Junior 2",IF(Scrutateur!A68&lt;40,"Adulte",IF(Scrutateur!A68&lt;50,"Master 40+","Master 50+"))))))</f>
        <v/>
      </c>
      <c r="C68" s="23" t="str">
        <f>IF(ISBLANK(Candidats!J68),"",DATEDIF(Candidats!J68,Listes!$E$2,"y"))</f>
        <v/>
      </c>
      <c r="D68" s="24" t="str">
        <f>IF(ISBLANK(Candidats!J68),"",IF(Scrutateur!C68&lt;10,"Benjamin",IF(Scrutateur!C68&lt;14,"Junior 1",IF(Scrutateur!C68&lt;18,"Junior 2",IF(Scrutateur!C68&lt;40,"Adulte",IF(Scrutateur!C68&lt;50,"Master 40+","Master 50+"))))))</f>
        <v/>
      </c>
      <c r="E68" s="77" t="str">
        <f>IF(Candidats!$M68="OUI",IF(Candidats!$N68="","","Parapole - "&amp;Candidats!$N68),IF(Candidats!$C68="","",IF(Candidats!$H68="",IF(OR($B68="Benjamin",$B68="Junior 1",$B68="Junior 2"),$B68,IF(Candidats!$F68="","",$B68&amp;" "&amp;Candidats!$F68)),IF(AND(COUNTIF($B68,"*Junior*")&gt;0,COUNTIF($D68,"*Junior*")&gt;0),"Double Juniors","Double Adultes"))))</f>
        <v/>
      </c>
    </row>
    <row r="69" spans="1:5" x14ac:dyDescent="0.2">
      <c r="A69" s="17" t="str">
        <f>IF(ISBLANK(Candidats!E69),"",DATEDIF(Candidats!E69,Listes!$E$2,"y"))</f>
        <v/>
      </c>
      <c r="B69" s="18" t="str">
        <f>IF(ISBLANK(Candidats!E69),"",IF(Scrutateur!A69&lt;10,"Benjamin",IF(Scrutateur!A69&lt;14,"Junior 1",IF(Scrutateur!A69&lt;18,"Junior 2",IF(Scrutateur!A69&lt;40,"Adulte",IF(Scrutateur!A69&lt;50,"Master 40+","Master 50+"))))))</f>
        <v/>
      </c>
      <c r="C69" s="23" t="str">
        <f>IF(ISBLANK(Candidats!J69),"",DATEDIF(Candidats!J69,Listes!$E$2,"y"))</f>
        <v/>
      </c>
      <c r="D69" s="24" t="str">
        <f>IF(ISBLANK(Candidats!J69),"",IF(Scrutateur!C69&lt;10,"Benjamin",IF(Scrutateur!C69&lt;14,"Junior 1",IF(Scrutateur!C69&lt;18,"Junior 2",IF(Scrutateur!C69&lt;40,"Adulte",IF(Scrutateur!C69&lt;50,"Master 40+","Master 50+"))))))</f>
        <v/>
      </c>
      <c r="E69" s="77" t="str">
        <f>IF(Candidats!$M69="OUI",IF(Candidats!$N69="","","Parapole - "&amp;Candidats!$N69),IF(Candidats!$C69="","",IF(Candidats!$H69="",IF(OR($B69="Benjamin",$B69="Junior 1",$B69="Junior 2"),$B69,IF(Candidats!$F69="","",$B69&amp;" "&amp;Candidats!$F69)),IF(AND(COUNTIF($B69,"*Junior*")&gt;0,COUNTIF($D69,"*Junior*")&gt;0),"Double Juniors","Double Adultes"))))</f>
        <v/>
      </c>
    </row>
    <row r="70" spans="1:5" x14ac:dyDescent="0.2">
      <c r="A70" s="17" t="str">
        <f>IF(ISBLANK(Candidats!E70),"",DATEDIF(Candidats!E70,Listes!$E$2,"y"))</f>
        <v/>
      </c>
      <c r="B70" s="18" t="str">
        <f>IF(ISBLANK(Candidats!E70),"",IF(Scrutateur!A70&lt;10,"Benjamin",IF(Scrutateur!A70&lt;14,"Junior 1",IF(Scrutateur!A70&lt;18,"Junior 2",IF(Scrutateur!A70&lt;40,"Adulte",IF(Scrutateur!A70&lt;50,"Master 40+","Master 50+"))))))</f>
        <v/>
      </c>
      <c r="C70" s="23" t="str">
        <f>IF(ISBLANK(Candidats!J70),"",DATEDIF(Candidats!J70,Listes!$E$2,"y"))</f>
        <v/>
      </c>
      <c r="D70" s="24" t="str">
        <f>IF(ISBLANK(Candidats!J70),"",IF(Scrutateur!C70&lt;10,"Benjamin",IF(Scrutateur!C70&lt;14,"Junior 1",IF(Scrutateur!C70&lt;18,"Junior 2",IF(Scrutateur!C70&lt;40,"Adulte",IF(Scrutateur!C70&lt;50,"Master 40+","Master 50+"))))))</f>
        <v/>
      </c>
      <c r="E70" s="77" t="str">
        <f>IF(Candidats!$M70="OUI",IF(Candidats!$N70="","","Parapole - "&amp;Candidats!$N70),IF(Candidats!$C70="","",IF(Candidats!$H70="",IF(OR($B70="Benjamin",$B70="Junior 1",$B70="Junior 2"),$B70,IF(Candidats!$F70="","",$B70&amp;" "&amp;Candidats!$F70)),IF(AND(COUNTIF($B70,"*Junior*")&gt;0,COUNTIF($D70,"*Junior*")&gt;0),"Double Juniors","Double Adultes"))))</f>
        <v/>
      </c>
    </row>
    <row r="71" spans="1:5" x14ac:dyDescent="0.2">
      <c r="A71" s="17" t="str">
        <f>IF(ISBLANK(Candidats!E71),"",DATEDIF(Candidats!E71,Listes!$E$2,"y"))</f>
        <v/>
      </c>
      <c r="B71" s="18" t="str">
        <f>IF(ISBLANK(Candidats!E71),"",IF(Scrutateur!A71&lt;10,"Benjamin",IF(Scrutateur!A71&lt;14,"Junior 1",IF(Scrutateur!A71&lt;18,"Junior 2",IF(Scrutateur!A71&lt;40,"Adulte",IF(Scrutateur!A71&lt;50,"Master 40+","Master 50+"))))))</f>
        <v/>
      </c>
      <c r="C71" s="23" t="str">
        <f>IF(ISBLANK(Candidats!J71),"",DATEDIF(Candidats!J71,Listes!$E$2,"y"))</f>
        <v/>
      </c>
      <c r="D71" s="24" t="str">
        <f>IF(ISBLANK(Candidats!J71),"",IF(Scrutateur!C71&lt;10,"Benjamin",IF(Scrutateur!C71&lt;14,"Junior 1",IF(Scrutateur!C71&lt;18,"Junior 2",IF(Scrutateur!C71&lt;40,"Adulte",IF(Scrutateur!C71&lt;50,"Master 40+","Master 50+"))))))</f>
        <v/>
      </c>
      <c r="E71" s="77" t="str">
        <f>IF(Candidats!$M71="OUI",IF(Candidats!$N71="","","Parapole - "&amp;Candidats!$N71),IF(Candidats!$C71="","",IF(Candidats!$H71="",IF(OR($B71="Benjamin",$B71="Junior 1",$B71="Junior 2"),$B71,IF(Candidats!$F71="","",$B71&amp;" "&amp;Candidats!$F71)),IF(AND(COUNTIF($B71,"*Junior*")&gt;0,COUNTIF($D71,"*Junior*")&gt;0),"Double Juniors","Double Adultes"))))</f>
        <v/>
      </c>
    </row>
    <row r="72" spans="1:5" x14ac:dyDescent="0.2">
      <c r="A72" s="17" t="str">
        <f>IF(ISBLANK(Candidats!E72),"",DATEDIF(Candidats!E72,Listes!$E$2,"y"))</f>
        <v/>
      </c>
      <c r="B72" s="18" t="str">
        <f>IF(ISBLANK(Candidats!E72),"",IF(Scrutateur!A72&lt;10,"Benjamin",IF(Scrutateur!A72&lt;14,"Junior 1",IF(Scrutateur!A72&lt;18,"Junior 2",IF(Scrutateur!A72&lt;40,"Adulte",IF(Scrutateur!A72&lt;50,"Master 40+","Master 50+"))))))</f>
        <v/>
      </c>
      <c r="C72" s="23" t="str">
        <f>IF(ISBLANK(Candidats!J72),"",DATEDIF(Candidats!J72,Listes!$E$2,"y"))</f>
        <v/>
      </c>
      <c r="D72" s="24" t="str">
        <f>IF(ISBLANK(Candidats!J72),"",IF(Scrutateur!C72&lt;10,"Benjamin",IF(Scrutateur!C72&lt;14,"Junior 1",IF(Scrutateur!C72&lt;18,"Junior 2",IF(Scrutateur!C72&lt;40,"Adulte",IF(Scrutateur!C72&lt;50,"Master 40+","Master 50+"))))))</f>
        <v/>
      </c>
      <c r="E72" s="77" t="str">
        <f>IF(Candidats!$M72="OUI",IF(Candidats!$N72="","","Parapole - "&amp;Candidats!$N72),IF(Candidats!$C72="","",IF(Candidats!$H72="",IF(OR($B72="Benjamin",$B72="Junior 1",$B72="Junior 2"),$B72,IF(Candidats!$F72="","",$B72&amp;" "&amp;Candidats!$F72)),IF(AND(COUNTIF($B72,"*Junior*")&gt;0,COUNTIF($D72,"*Junior*")&gt;0),"Double Juniors","Double Adultes"))))</f>
        <v/>
      </c>
    </row>
    <row r="73" spans="1:5" x14ac:dyDescent="0.2">
      <c r="A73" s="17" t="str">
        <f>IF(ISBLANK(Candidats!E73),"",DATEDIF(Candidats!E73,Listes!$E$2,"y"))</f>
        <v/>
      </c>
      <c r="B73" s="18" t="str">
        <f>IF(ISBLANK(Candidats!E73),"",IF(Scrutateur!A73&lt;10,"Benjamin",IF(Scrutateur!A73&lt;14,"Junior 1",IF(Scrutateur!A73&lt;18,"Junior 2",IF(Scrutateur!A73&lt;40,"Adulte",IF(Scrutateur!A73&lt;50,"Master 40+","Master 50+"))))))</f>
        <v/>
      </c>
      <c r="C73" s="23" t="str">
        <f>IF(ISBLANK(Candidats!J73),"",DATEDIF(Candidats!J73,Listes!$E$2,"y"))</f>
        <v/>
      </c>
      <c r="D73" s="24" t="str">
        <f>IF(ISBLANK(Candidats!J73),"",IF(Scrutateur!C73&lt;10,"Benjamin",IF(Scrutateur!C73&lt;14,"Junior 1",IF(Scrutateur!C73&lt;18,"Junior 2",IF(Scrutateur!C73&lt;40,"Adulte",IF(Scrutateur!C73&lt;50,"Master 40+","Master 50+"))))))</f>
        <v/>
      </c>
      <c r="E73" s="77" t="str">
        <f>IF(Candidats!$M73="OUI",IF(Candidats!$N73="","","Parapole - "&amp;Candidats!$N73),IF(Candidats!$C73="","",IF(Candidats!$H73="",IF(OR($B73="Benjamin",$B73="Junior 1",$B73="Junior 2"),$B73,IF(Candidats!$F73="","",$B73&amp;" "&amp;Candidats!$F73)),IF(AND(COUNTIF($B73,"*Junior*")&gt;0,COUNTIF($D73,"*Junior*")&gt;0),"Double Juniors","Double Adultes"))))</f>
        <v/>
      </c>
    </row>
    <row r="74" spans="1:5" x14ac:dyDescent="0.2">
      <c r="A74" s="17" t="str">
        <f>IF(ISBLANK(Candidats!E74),"",DATEDIF(Candidats!E74,Listes!$E$2,"y"))</f>
        <v/>
      </c>
      <c r="B74" s="18" t="str">
        <f>IF(ISBLANK(Candidats!E74),"",IF(Scrutateur!A74&lt;10,"Benjamin",IF(Scrutateur!A74&lt;14,"Junior 1",IF(Scrutateur!A74&lt;18,"Junior 2",IF(Scrutateur!A74&lt;40,"Adulte",IF(Scrutateur!A74&lt;50,"Master 40+","Master 50+"))))))</f>
        <v/>
      </c>
      <c r="C74" s="23" t="str">
        <f>IF(ISBLANK(Candidats!J74),"",DATEDIF(Candidats!J74,Listes!$E$2,"y"))</f>
        <v/>
      </c>
      <c r="D74" s="24" t="str">
        <f>IF(ISBLANK(Candidats!J74),"",IF(Scrutateur!C74&lt;10,"Benjamin",IF(Scrutateur!C74&lt;14,"Junior 1",IF(Scrutateur!C74&lt;18,"Junior 2",IF(Scrutateur!C74&lt;40,"Adulte",IF(Scrutateur!C74&lt;50,"Master 40+","Master 50+"))))))</f>
        <v/>
      </c>
      <c r="E74" s="77" t="str">
        <f>IF(Candidats!$M74="OUI",IF(Candidats!$N74="","","Parapole - "&amp;Candidats!$N74),IF(Candidats!$C74="","",IF(Candidats!$H74="",IF(OR($B74="Benjamin",$B74="Junior 1",$B74="Junior 2"),$B74,IF(Candidats!$F74="","",$B74&amp;" "&amp;Candidats!$F74)),IF(AND(COUNTIF($B74,"*Junior*")&gt;0,COUNTIF($D74,"*Junior*")&gt;0),"Double Juniors","Double Adultes"))))</f>
        <v/>
      </c>
    </row>
    <row r="75" spans="1:5" x14ac:dyDescent="0.2">
      <c r="A75" s="17" t="str">
        <f>IF(ISBLANK(Candidats!E75),"",DATEDIF(Candidats!E75,Listes!$E$2,"y"))</f>
        <v/>
      </c>
      <c r="B75" s="18" t="str">
        <f>IF(ISBLANK(Candidats!E75),"",IF(Scrutateur!A75&lt;10,"Benjamin",IF(Scrutateur!A75&lt;14,"Junior 1",IF(Scrutateur!A75&lt;18,"Junior 2",IF(Scrutateur!A75&lt;40,"Adulte",IF(Scrutateur!A75&lt;50,"Master 40+","Master 50+"))))))</f>
        <v/>
      </c>
      <c r="C75" s="23" t="str">
        <f>IF(ISBLANK(Candidats!J75),"",DATEDIF(Candidats!J75,Listes!$E$2,"y"))</f>
        <v/>
      </c>
      <c r="D75" s="24" t="str">
        <f>IF(ISBLANK(Candidats!J75),"",IF(Scrutateur!C75&lt;10,"Benjamin",IF(Scrutateur!C75&lt;14,"Junior 1",IF(Scrutateur!C75&lt;18,"Junior 2",IF(Scrutateur!C75&lt;40,"Adulte",IF(Scrutateur!C75&lt;50,"Master 40+","Master 50+"))))))</f>
        <v/>
      </c>
      <c r="E75" s="77" t="str">
        <f>IF(Candidats!$M75="OUI",IF(Candidats!$N75="","","Parapole - "&amp;Candidats!$N75),IF(Candidats!$C75="","",IF(Candidats!$H75="",IF(OR($B75="Benjamin",$B75="Junior 1",$B75="Junior 2"),$B75,IF(Candidats!$F75="","",$B75&amp;" "&amp;Candidats!$F75)),IF(AND(COUNTIF($B75,"*Junior*")&gt;0,COUNTIF($D75,"*Junior*")&gt;0),"Double Juniors","Double Adultes"))))</f>
        <v/>
      </c>
    </row>
    <row r="76" spans="1:5" x14ac:dyDescent="0.2">
      <c r="A76" s="17" t="str">
        <f>IF(ISBLANK(Candidats!E76),"",DATEDIF(Candidats!E76,Listes!$E$2,"y"))</f>
        <v/>
      </c>
      <c r="B76" s="18" t="str">
        <f>IF(ISBLANK(Candidats!E76),"",IF(Scrutateur!A76&lt;10,"Benjamin",IF(Scrutateur!A76&lt;14,"Junior 1",IF(Scrutateur!A76&lt;18,"Junior 2",IF(Scrutateur!A76&lt;40,"Adulte",IF(Scrutateur!A76&lt;50,"Master 40+","Master 50+"))))))</f>
        <v/>
      </c>
      <c r="C76" s="23" t="str">
        <f>IF(ISBLANK(Candidats!J76),"",DATEDIF(Candidats!J76,Listes!$E$2,"y"))</f>
        <v/>
      </c>
      <c r="D76" s="24" t="str">
        <f>IF(ISBLANK(Candidats!J76),"",IF(Scrutateur!C76&lt;10,"Benjamin",IF(Scrutateur!C76&lt;14,"Junior 1",IF(Scrutateur!C76&lt;18,"Junior 2",IF(Scrutateur!C76&lt;40,"Adulte",IF(Scrutateur!C76&lt;50,"Master 40+","Master 50+"))))))</f>
        <v/>
      </c>
      <c r="E76" s="77" t="str">
        <f>IF(Candidats!$M76="OUI",IF(Candidats!$N76="","","Parapole - "&amp;Candidats!$N76),IF(Candidats!$C76="","",IF(Candidats!$H76="",IF(OR($B76="Benjamin",$B76="Junior 1",$B76="Junior 2"),$B76,IF(Candidats!$F76="","",$B76&amp;" "&amp;Candidats!$F76)),IF(AND(COUNTIF($B76,"*Junior*")&gt;0,COUNTIF($D76,"*Junior*")&gt;0),"Double Juniors","Double Adultes"))))</f>
        <v/>
      </c>
    </row>
    <row r="77" spans="1:5" x14ac:dyDescent="0.2">
      <c r="A77" s="17" t="str">
        <f>IF(ISBLANK(Candidats!E77),"",DATEDIF(Candidats!E77,Listes!$E$2,"y"))</f>
        <v/>
      </c>
      <c r="B77" s="18" t="str">
        <f>IF(ISBLANK(Candidats!E77),"",IF(Scrutateur!A77&lt;10,"Benjamin",IF(Scrutateur!A77&lt;14,"Junior 1",IF(Scrutateur!A77&lt;18,"Junior 2",IF(Scrutateur!A77&lt;40,"Adulte",IF(Scrutateur!A77&lt;50,"Master 40+","Master 50+"))))))</f>
        <v/>
      </c>
      <c r="C77" s="23" t="str">
        <f>IF(ISBLANK(Candidats!J77),"",DATEDIF(Candidats!J77,Listes!$E$2,"y"))</f>
        <v/>
      </c>
      <c r="D77" s="24" t="str">
        <f>IF(ISBLANK(Candidats!J77),"",IF(Scrutateur!C77&lt;10,"Benjamin",IF(Scrutateur!C77&lt;14,"Junior 1",IF(Scrutateur!C77&lt;18,"Junior 2",IF(Scrutateur!C77&lt;40,"Adulte",IF(Scrutateur!C77&lt;50,"Master 40+","Master 50+"))))))</f>
        <v/>
      </c>
      <c r="E77" s="77" t="str">
        <f>IF(Candidats!$M77="OUI",IF(Candidats!$N77="","","Parapole - "&amp;Candidats!$N77),IF(Candidats!$C77="","",IF(Candidats!$H77="",IF(OR($B77="Benjamin",$B77="Junior 1",$B77="Junior 2"),$B77,IF(Candidats!$F77="","",$B77&amp;" "&amp;Candidats!$F77)),IF(AND(COUNTIF($B77,"*Junior*")&gt;0,COUNTIF($D77,"*Junior*")&gt;0),"Double Juniors","Double Adultes"))))</f>
        <v/>
      </c>
    </row>
    <row r="78" spans="1:5" x14ac:dyDescent="0.2">
      <c r="A78" s="17" t="str">
        <f>IF(ISBLANK(Candidats!E78),"",DATEDIF(Candidats!E78,Listes!$E$2,"y"))</f>
        <v/>
      </c>
      <c r="B78" s="18" t="str">
        <f>IF(ISBLANK(Candidats!E78),"",IF(Scrutateur!A78&lt;10,"Benjamin",IF(Scrutateur!A78&lt;14,"Junior 1",IF(Scrutateur!A78&lt;18,"Junior 2",IF(Scrutateur!A78&lt;40,"Adulte",IF(Scrutateur!A78&lt;50,"Master 40+","Master 50+"))))))</f>
        <v/>
      </c>
      <c r="C78" s="23" t="str">
        <f>IF(ISBLANK(Candidats!J78),"",DATEDIF(Candidats!J78,Listes!$E$2,"y"))</f>
        <v/>
      </c>
      <c r="D78" s="24" t="str">
        <f>IF(ISBLANK(Candidats!J78),"",IF(Scrutateur!C78&lt;10,"Benjamin",IF(Scrutateur!C78&lt;14,"Junior 1",IF(Scrutateur!C78&lt;18,"Junior 2",IF(Scrutateur!C78&lt;40,"Adulte",IF(Scrutateur!C78&lt;50,"Master 40+","Master 50+"))))))</f>
        <v/>
      </c>
      <c r="E78" s="77" t="str">
        <f>IF(Candidats!$M78="OUI",IF(Candidats!$N78="","","Parapole - "&amp;Candidats!$N78),IF(Candidats!$C78="","",IF(Candidats!$H78="",IF(OR($B78="Benjamin",$B78="Junior 1",$B78="Junior 2"),$B78,IF(Candidats!$F78="","",$B78&amp;" "&amp;Candidats!$F78)),IF(AND(COUNTIF($B78,"*Junior*")&gt;0,COUNTIF($D78,"*Junior*")&gt;0),"Double Juniors","Double Adultes"))))</f>
        <v/>
      </c>
    </row>
    <row r="79" spans="1:5" x14ac:dyDescent="0.2">
      <c r="A79" s="17" t="str">
        <f>IF(ISBLANK(Candidats!E79),"",DATEDIF(Candidats!E79,Listes!$E$2,"y"))</f>
        <v/>
      </c>
      <c r="B79" s="18" t="str">
        <f>IF(ISBLANK(Candidats!E79),"",IF(Scrutateur!A79&lt;10,"Benjamin",IF(Scrutateur!A79&lt;14,"Junior 1",IF(Scrutateur!A79&lt;18,"Junior 2",IF(Scrutateur!A79&lt;40,"Adulte",IF(Scrutateur!A79&lt;50,"Master 40+","Master 50+"))))))</f>
        <v/>
      </c>
      <c r="C79" s="23" t="str">
        <f>IF(ISBLANK(Candidats!J79),"",DATEDIF(Candidats!J79,Listes!$E$2,"y"))</f>
        <v/>
      </c>
      <c r="D79" s="24" t="str">
        <f>IF(ISBLANK(Candidats!J79),"",IF(Scrutateur!C79&lt;10,"Benjamin",IF(Scrutateur!C79&lt;14,"Junior 1",IF(Scrutateur!C79&lt;18,"Junior 2",IF(Scrutateur!C79&lt;40,"Adulte",IF(Scrutateur!C79&lt;50,"Master 40+","Master 50+"))))))</f>
        <v/>
      </c>
      <c r="E79" s="77" t="str">
        <f>IF(Candidats!$M79="OUI",IF(Candidats!$N79="","","Parapole - "&amp;Candidats!$N79),IF(Candidats!$C79="","",IF(Candidats!$H79="",IF(OR($B79="Benjamin",$B79="Junior 1",$B79="Junior 2"),$B79,IF(Candidats!$F79="","",$B79&amp;" "&amp;Candidats!$F79)),IF(AND(COUNTIF($B79,"*Junior*")&gt;0,COUNTIF($D79,"*Junior*")&gt;0),"Double Juniors","Double Adultes"))))</f>
        <v/>
      </c>
    </row>
    <row r="80" spans="1:5" x14ac:dyDescent="0.2">
      <c r="A80" s="17" t="str">
        <f>IF(ISBLANK(Candidats!E80),"",DATEDIF(Candidats!E80,Listes!$E$2,"y"))</f>
        <v/>
      </c>
      <c r="B80" s="18" t="str">
        <f>IF(ISBLANK(Candidats!E80),"",IF(Scrutateur!A80&lt;10,"Benjamin",IF(Scrutateur!A80&lt;14,"Junior 1",IF(Scrutateur!A80&lt;18,"Junior 2",IF(Scrutateur!A80&lt;40,"Adulte",IF(Scrutateur!A80&lt;50,"Master 40+","Master 50+"))))))</f>
        <v/>
      </c>
      <c r="C80" s="23" t="str">
        <f>IF(ISBLANK(Candidats!J80),"",DATEDIF(Candidats!J80,Listes!$E$2,"y"))</f>
        <v/>
      </c>
      <c r="D80" s="24" t="str">
        <f>IF(ISBLANK(Candidats!J80),"",IF(Scrutateur!C80&lt;10,"Benjamin",IF(Scrutateur!C80&lt;14,"Junior 1",IF(Scrutateur!C80&lt;18,"Junior 2",IF(Scrutateur!C80&lt;40,"Adulte",IF(Scrutateur!C80&lt;50,"Master 40+","Master 50+"))))))</f>
        <v/>
      </c>
      <c r="E80" s="77" t="str">
        <f>IF(Candidats!$M80="OUI",IF(Candidats!$N80="","","Parapole - "&amp;Candidats!$N80),IF(Candidats!$C80="","",IF(Candidats!$H80="",IF(OR($B80="Benjamin",$B80="Junior 1",$B80="Junior 2"),$B80,IF(Candidats!$F80="","",$B80&amp;" "&amp;Candidats!$F80)),IF(AND(COUNTIF($B80,"*Junior*")&gt;0,COUNTIF($D80,"*Junior*")&gt;0),"Double Juniors","Double Adultes"))))</f>
        <v/>
      </c>
    </row>
    <row r="81" spans="1:5" x14ac:dyDescent="0.2">
      <c r="A81" s="17" t="str">
        <f>IF(ISBLANK(Candidats!E81),"",DATEDIF(Candidats!E81,Listes!$E$2,"y"))</f>
        <v/>
      </c>
      <c r="B81" s="18" t="str">
        <f>IF(ISBLANK(Candidats!E81),"",IF(Scrutateur!A81&lt;10,"Benjamin",IF(Scrutateur!A81&lt;14,"Junior 1",IF(Scrutateur!A81&lt;18,"Junior 2",IF(Scrutateur!A81&lt;40,"Adulte",IF(Scrutateur!A81&lt;50,"Master 40+","Master 50+"))))))</f>
        <v/>
      </c>
      <c r="C81" s="23" t="str">
        <f>IF(ISBLANK(Candidats!J81),"",DATEDIF(Candidats!J81,Listes!$E$2,"y"))</f>
        <v/>
      </c>
      <c r="D81" s="24" t="str">
        <f>IF(ISBLANK(Candidats!J81),"",IF(Scrutateur!C81&lt;10,"Benjamin",IF(Scrutateur!C81&lt;14,"Junior 1",IF(Scrutateur!C81&lt;18,"Junior 2",IF(Scrutateur!C81&lt;40,"Adulte",IF(Scrutateur!C81&lt;50,"Master 40+","Master 50+"))))))</f>
        <v/>
      </c>
      <c r="E81" s="77" t="str">
        <f>IF(Candidats!$M81="OUI",IF(Candidats!$N81="","","Parapole - "&amp;Candidats!$N81),IF(Candidats!$C81="","",IF(Candidats!$H81="",IF(OR($B81="Benjamin",$B81="Junior 1",$B81="Junior 2"),$B81,IF(Candidats!$F81="","",$B81&amp;" "&amp;Candidats!$F81)),IF(AND(COUNTIF($B81,"*Junior*")&gt;0,COUNTIF($D81,"*Junior*")&gt;0),"Double Juniors","Double Adultes"))))</f>
        <v/>
      </c>
    </row>
    <row r="82" spans="1:5" x14ac:dyDescent="0.2">
      <c r="A82" s="17" t="str">
        <f>IF(ISBLANK(Candidats!E82),"",DATEDIF(Candidats!E82,Listes!$E$2,"y"))</f>
        <v/>
      </c>
      <c r="B82" s="18" t="str">
        <f>IF(ISBLANK(Candidats!E82),"",IF(Scrutateur!A82&lt;10,"Benjamin",IF(Scrutateur!A82&lt;14,"Junior 1",IF(Scrutateur!A82&lt;18,"Junior 2",IF(Scrutateur!A82&lt;40,"Adulte",IF(Scrutateur!A82&lt;50,"Master 40+","Master 50+"))))))</f>
        <v/>
      </c>
      <c r="C82" s="23" t="str">
        <f>IF(ISBLANK(Candidats!J82),"",DATEDIF(Candidats!J82,Listes!$E$2,"y"))</f>
        <v/>
      </c>
      <c r="D82" s="24" t="str">
        <f>IF(ISBLANK(Candidats!J82),"",IF(Scrutateur!C82&lt;10,"Benjamin",IF(Scrutateur!C82&lt;14,"Junior 1",IF(Scrutateur!C82&lt;18,"Junior 2",IF(Scrutateur!C82&lt;40,"Adulte",IF(Scrutateur!C82&lt;50,"Master 40+","Master 50+"))))))</f>
        <v/>
      </c>
      <c r="E82" s="77" t="str">
        <f>IF(Candidats!$M82="OUI",IF(Candidats!$N82="","","Parapole - "&amp;Candidats!$N82),IF(Candidats!$C82="","",IF(Candidats!$H82="",IF(OR($B82="Benjamin",$B82="Junior 1",$B82="Junior 2"),$B82,IF(Candidats!$F82="","",$B82&amp;" "&amp;Candidats!$F82)),IF(AND(COUNTIF($B82,"*Junior*")&gt;0,COUNTIF($D82,"*Junior*")&gt;0),"Double Juniors","Double Adultes"))))</f>
        <v/>
      </c>
    </row>
    <row r="83" spans="1:5" x14ac:dyDescent="0.2">
      <c r="A83" s="17" t="str">
        <f>IF(ISBLANK(Candidats!E83),"",DATEDIF(Candidats!E83,Listes!$E$2,"y"))</f>
        <v/>
      </c>
      <c r="B83" s="18" t="str">
        <f>IF(ISBLANK(Candidats!E83),"",IF(Scrutateur!A83&lt;10,"Benjamin",IF(Scrutateur!A83&lt;14,"Junior 1",IF(Scrutateur!A83&lt;18,"Junior 2",IF(Scrutateur!A83&lt;40,"Adulte",IF(Scrutateur!A83&lt;50,"Master 40+","Master 50+"))))))</f>
        <v/>
      </c>
      <c r="C83" s="23" t="str">
        <f>IF(ISBLANK(Candidats!J83),"",DATEDIF(Candidats!J83,Listes!$E$2,"y"))</f>
        <v/>
      </c>
      <c r="D83" s="24" t="str">
        <f>IF(ISBLANK(Candidats!J83),"",IF(Scrutateur!C83&lt;10,"Benjamin",IF(Scrutateur!C83&lt;14,"Junior 1",IF(Scrutateur!C83&lt;18,"Junior 2",IF(Scrutateur!C83&lt;40,"Adulte",IF(Scrutateur!C83&lt;50,"Master 40+","Master 50+"))))))</f>
        <v/>
      </c>
      <c r="E83" s="77" t="str">
        <f>IF(Candidats!$M83="OUI",IF(Candidats!$N83="","","Parapole - "&amp;Candidats!$N83),IF(Candidats!$C83="","",IF(Candidats!$H83="",IF(OR($B83="Benjamin",$B83="Junior 1",$B83="Junior 2"),$B83,IF(Candidats!$F83="","",$B83&amp;" "&amp;Candidats!$F83)),IF(AND(COUNTIF($B83,"*Junior*")&gt;0,COUNTIF($D83,"*Junior*")&gt;0),"Double Juniors","Double Adultes"))))</f>
        <v/>
      </c>
    </row>
    <row r="84" spans="1:5" x14ac:dyDescent="0.2">
      <c r="A84" s="17" t="str">
        <f>IF(ISBLANK(Candidats!E84),"",DATEDIF(Candidats!E84,Listes!$E$2,"y"))</f>
        <v/>
      </c>
      <c r="B84" s="18" t="str">
        <f>IF(ISBLANK(Candidats!E84),"",IF(Scrutateur!A84&lt;10,"Benjamin",IF(Scrutateur!A84&lt;14,"Junior 1",IF(Scrutateur!A84&lt;18,"Junior 2",IF(Scrutateur!A84&lt;40,"Adulte",IF(Scrutateur!A84&lt;50,"Master 40+","Master 50+"))))))</f>
        <v/>
      </c>
      <c r="C84" s="23" t="str">
        <f>IF(ISBLANK(Candidats!J84),"",DATEDIF(Candidats!J84,Listes!$E$2,"y"))</f>
        <v/>
      </c>
      <c r="D84" s="24" t="str">
        <f>IF(ISBLANK(Candidats!J84),"",IF(Scrutateur!C84&lt;10,"Benjamin",IF(Scrutateur!C84&lt;14,"Junior 1",IF(Scrutateur!C84&lt;18,"Junior 2",IF(Scrutateur!C84&lt;40,"Adulte",IF(Scrutateur!C84&lt;50,"Master 40+","Master 50+"))))))</f>
        <v/>
      </c>
      <c r="E84" s="77" t="str">
        <f>IF(Candidats!$M84="OUI",IF(Candidats!$N84="","","Parapole - "&amp;Candidats!$N84),IF(Candidats!$C84="","",IF(Candidats!$H84="",IF(OR($B84="Benjamin",$B84="Junior 1",$B84="Junior 2"),$B84,IF(Candidats!$F84="","",$B84&amp;" "&amp;Candidats!$F84)),IF(AND(COUNTIF($B84,"*Junior*")&gt;0,COUNTIF($D84,"*Junior*")&gt;0),"Double Juniors","Double Adultes"))))</f>
        <v/>
      </c>
    </row>
    <row r="85" spans="1:5" x14ac:dyDescent="0.2">
      <c r="A85" s="17" t="str">
        <f>IF(ISBLANK(Candidats!E85),"",DATEDIF(Candidats!E85,Listes!$E$2,"y"))</f>
        <v/>
      </c>
      <c r="B85" s="18" t="str">
        <f>IF(ISBLANK(Candidats!E85),"",IF(Scrutateur!A85&lt;10,"Benjamin",IF(Scrutateur!A85&lt;14,"Junior 1",IF(Scrutateur!A85&lt;18,"Junior 2",IF(Scrutateur!A85&lt;40,"Adulte",IF(Scrutateur!A85&lt;50,"Master 40+","Master 50+"))))))</f>
        <v/>
      </c>
      <c r="C85" s="23" t="str">
        <f>IF(ISBLANK(Candidats!J85),"",DATEDIF(Candidats!J85,Listes!$E$2,"y"))</f>
        <v/>
      </c>
      <c r="D85" s="24" t="str">
        <f>IF(ISBLANK(Candidats!J85),"",IF(Scrutateur!C85&lt;10,"Benjamin",IF(Scrutateur!C85&lt;14,"Junior 1",IF(Scrutateur!C85&lt;18,"Junior 2",IF(Scrutateur!C85&lt;40,"Adulte",IF(Scrutateur!C85&lt;50,"Master 40+","Master 50+"))))))</f>
        <v/>
      </c>
      <c r="E85" s="77" t="str">
        <f>IF(Candidats!$M85="OUI",IF(Candidats!$N85="","","Parapole - "&amp;Candidats!$N85),IF(Candidats!$C85="","",IF(Candidats!$H85="",IF(OR($B85="Benjamin",$B85="Junior 1",$B85="Junior 2"),$B85,IF(Candidats!$F85="","",$B85&amp;" "&amp;Candidats!$F85)),IF(AND(COUNTIF($B85,"*Junior*")&gt;0,COUNTIF($D85,"*Junior*")&gt;0),"Double Juniors","Double Adultes"))))</f>
        <v/>
      </c>
    </row>
    <row r="86" spans="1:5" x14ac:dyDescent="0.2">
      <c r="A86" s="17" t="str">
        <f>IF(ISBLANK(Candidats!E86),"",DATEDIF(Candidats!E86,Listes!$E$2,"y"))</f>
        <v/>
      </c>
      <c r="B86" s="18" t="str">
        <f>IF(ISBLANK(Candidats!E86),"",IF(Scrutateur!A86&lt;10,"Benjamin",IF(Scrutateur!A86&lt;14,"Junior 1",IF(Scrutateur!A86&lt;18,"Junior 2",IF(Scrutateur!A86&lt;40,"Adulte",IF(Scrutateur!A86&lt;50,"Master 40+","Master 50+"))))))</f>
        <v/>
      </c>
      <c r="C86" s="23" t="str">
        <f>IF(ISBLANK(Candidats!J86),"",DATEDIF(Candidats!J86,Listes!$E$2,"y"))</f>
        <v/>
      </c>
      <c r="D86" s="24" t="str">
        <f>IF(ISBLANK(Candidats!J86),"",IF(Scrutateur!C86&lt;10,"Benjamin",IF(Scrutateur!C86&lt;14,"Junior 1",IF(Scrutateur!C86&lt;18,"Junior 2",IF(Scrutateur!C86&lt;40,"Adulte",IF(Scrutateur!C86&lt;50,"Master 40+","Master 50+"))))))</f>
        <v/>
      </c>
      <c r="E86" s="77" t="str">
        <f>IF(Candidats!$M86="OUI",IF(Candidats!$N86="","","Parapole - "&amp;Candidats!$N86),IF(Candidats!$C86="","",IF(Candidats!$H86="",IF(OR($B86="Benjamin",$B86="Junior 1",$B86="Junior 2"),$B86,IF(Candidats!$F86="","",$B86&amp;" "&amp;Candidats!$F86)),IF(AND(COUNTIF($B86,"*Junior*")&gt;0,COUNTIF($D86,"*Junior*")&gt;0),"Double Juniors","Double Adultes"))))</f>
        <v/>
      </c>
    </row>
    <row r="87" spans="1:5" x14ac:dyDescent="0.2">
      <c r="A87" s="17" t="str">
        <f>IF(ISBLANK(Candidats!E87),"",DATEDIF(Candidats!E87,Listes!$E$2,"y"))</f>
        <v/>
      </c>
      <c r="B87" s="18" t="str">
        <f>IF(ISBLANK(Candidats!E87),"",IF(Scrutateur!A87&lt;10,"Benjamin",IF(Scrutateur!A87&lt;14,"Junior 1",IF(Scrutateur!A87&lt;18,"Junior 2",IF(Scrutateur!A87&lt;40,"Adulte",IF(Scrutateur!A87&lt;50,"Master 40+","Master 50+"))))))</f>
        <v/>
      </c>
      <c r="C87" s="23" t="str">
        <f>IF(ISBLANK(Candidats!J87),"",DATEDIF(Candidats!J87,Listes!$E$2,"y"))</f>
        <v/>
      </c>
      <c r="D87" s="24" t="str">
        <f>IF(ISBLANK(Candidats!J87),"",IF(Scrutateur!C87&lt;10,"Benjamin",IF(Scrutateur!C87&lt;14,"Junior 1",IF(Scrutateur!C87&lt;18,"Junior 2",IF(Scrutateur!C87&lt;40,"Adulte",IF(Scrutateur!C87&lt;50,"Master 40+","Master 50+"))))))</f>
        <v/>
      </c>
      <c r="E87" s="77" t="str">
        <f>IF(Candidats!$M87="OUI",IF(Candidats!$N87="","","Parapole - "&amp;Candidats!$N87),IF(Candidats!$C87="","",IF(Candidats!$H87="",IF(OR($B87="Benjamin",$B87="Junior 1",$B87="Junior 2"),$B87,IF(Candidats!$F87="","",$B87&amp;" "&amp;Candidats!$F87)),IF(AND(COUNTIF($B87,"*Junior*")&gt;0,COUNTIF($D87,"*Junior*")&gt;0),"Double Juniors","Double Adultes"))))</f>
        <v/>
      </c>
    </row>
    <row r="88" spans="1:5" x14ac:dyDescent="0.2">
      <c r="A88" s="17" t="str">
        <f>IF(ISBLANK(Candidats!E88),"",DATEDIF(Candidats!E88,Listes!$E$2,"y"))</f>
        <v/>
      </c>
      <c r="B88" s="18" t="str">
        <f>IF(ISBLANK(Candidats!E88),"",IF(Scrutateur!A88&lt;10,"Benjamin",IF(Scrutateur!A88&lt;14,"Junior 1",IF(Scrutateur!A88&lt;18,"Junior 2",IF(Scrutateur!A88&lt;40,"Adulte",IF(Scrutateur!A88&lt;50,"Master 40+","Master 50+"))))))</f>
        <v/>
      </c>
      <c r="C88" s="23" t="str">
        <f>IF(ISBLANK(Candidats!J88),"",DATEDIF(Candidats!J88,Listes!$E$2,"y"))</f>
        <v/>
      </c>
      <c r="D88" s="24" t="str">
        <f>IF(ISBLANK(Candidats!J88),"",IF(Scrutateur!C88&lt;10,"Benjamin",IF(Scrutateur!C88&lt;14,"Junior 1",IF(Scrutateur!C88&lt;18,"Junior 2",IF(Scrutateur!C88&lt;40,"Adulte",IF(Scrutateur!C88&lt;50,"Master 40+","Master 50+"))))))</f>
        <v/>
      </c>
      <c r="E88" s="77" t="str">
        <f>IF(Candidats!$M88="OUI",IF(Candidats!$N88="","","Parapole - "&amp;Candidats!$N88),IF(Candidats!$C88="","",IF(Candidats!$H88="",IF(OR($B88="Benjamin",$B88="Junior 1",$B88="Junior 2"),$B88,IF(Candidats!$F88="","",$B88&amp;" "&amp;Candidats!$F88)),IF(AND(COUNTIF($B88,"*Junior*")&gt;0,COUNTIF($D88,"*Junior*")&gt;0),"Double Juniors","Double Adultes"))))</f>
        <v/>
      </c>
    </row>
    <row r="89" spans="1:5" x14ac:dyDescent="0.2">
      <c r="A89" s="17" t="str">
        <f>IF(ISBLANK(Candidats!E89),"",DATEDIF(Candidats!E89,Listes!$E$2,"y"))</f>
        <v/>
      </c>
      <c r="B89" s="18" t="str">
        <f>IF(ISBLANK(Candidats!E89),"",IF(Scrutateur!A89&lt;10,"Benjamin",IF(Scrutateur!A89&lt;14,"Junior 1",IF(Scrutateur!A89&lt;18,"Junior 2",IF(Scrutateur!A89&lt;40,"Adulte",IF(Scrutateur!A89&lt;50,"Master 40+","Master 50+"))))))</f>
        <v/>
      </c>
      <c r="C89" s="23" t="str">
        <f>IF(ISBLANK(Candidats!J89),"",DATEDIF(Candidats!J89,Listes!$E$2,"y"))</f>
        <v/>
      </c>
      <c r="D89" s="24" t="str">
        <f>IF(ISBLANK(Candidats!J89),"",IF(Scrutateur!C89&lt;10,"Benjamin",IF(Scrutateur!C89&lt;14,"Junior 1",IF(Scrutateur!C89&lt;18,"Junior 2",IF(Scrutateur!C89&lt;40,"Adulte",IF(Scrutateur!C89&lt;50,"Master 40+","Master 50+"))))))</f>
        <v/>
      </c>
      <c r="E89" s="77" t="str">
        <f>IF(Candidats!$M89="OUI",IF(Candidats!$N89="","","Parapole - "&amp;Candidats!$N89),IF(Candidats!$C89="","",IF(Candidats!$H89="",IF(OR($B89="Benjamin",$B89="Junior 1",$B89="Junior 2"),$B89,IF(Candidats!$F89="","",$B89&amp;" "&amp;Candidats!$F89)),IF(AND(COUNTIF($B89,"*Junior*")&gt;0,COUNTIF($D89,"*Junior*")&gt;0),"Double Juniors","Double Adultes"))))</f>
        <v/>
      </c>
    </row>
    <row r="90" spans="1:5" x14ac:dyDescent="0.2">
      <c r="A90" s="17" t="str">
        <f>IF(ISBLANK(Candidats!E90),"",DATEDIF(Candidats!E90,Listes!$E$2,"y"))</f>
        <v/>
      </c>
      <c r="B90" s="18" t="str">
        <f>IF(ISBLANK(Candidats!E90),"",IF(Scrutateur!A90&lt;10,"Benjamin",IF(Scrutateur!A90&lt;14,"Junior 1",IF(Scrutateur!A90&lt;18,"Junior 2",IF(Scrutateur!A90&lt;40,"Adulte",IF(Scrutateur!A90&lt;50,"Master 40+","Master 50+"))))))</f>
        <v/>
      </c>
      <c r="C90" s="23" t="str">
        <f>IF(ISBLANK(Candidats!J90),"",DATEDIF(Candidats!J90,Listes!$E$2,"y"))</f>
        <v/>
      </c>
      <c r="D90" s="24" t="str">
        <f>IF(ISBLANK(Candidats!J90),"",IF(Scrutateur!C90&lt;10,"Benjamin",IF(Scrutateur!C90&lt;14,"Junior 1",IF(Scrutateur!C90&lt;18,"Junior 2",IF(Scrutateur!C90&lt;40,"Adulte",IF(Scrutateur!C90&lt;50,"Master 40+","Master 50+"))))))</f>
        <v/>
      </c>
      <c r="E90" s="77" t="str">
        <f>IF(Candidats!$M90="OUI",IF(Candidats!$N90="","","Parapole - "&amp;Candidats!$N90),IF(Candidats!$C90="","",IF(Candidats!$H90="",IF(OR($B90="Benjamin",$B90="Junior 1",$B90="Junior 2"),$B90,IF(Candidats!$F90="","",$B90&amp;" "&amp;Candidats!$F90)),IF(AND(COUNTIF($B90,"*Junior*")&gt;0,COUNTIF($D90,"*Junior*")&gt;0),"Double Juniors","Double Adultes"))))</f>
        <v/>
      </c>
    </row>
    <row r="91" spans="1:5" x14ac:dyDescent="0.2">
      <c r="A91" s="17" t="str">
        <f>IF(ISBLANK(Candidats!E91),"",DATEDIF(Candidats!E91,Listes!$E$2,"y"))</f>
        <v/>
      </c>
      <c r="B91" s="18" t="str">
        <f>IF(ISBLANK(Candidats!E91),"",IF(Scrutateur!A91&lt;10,"Benjamin",IF(Scrutateur!A91&lt;14,"Junior 1",IF(Scrutateur!A91&lt;18,"Junior 2",IF(Scrutateur!A91&lt;40,"Adulte",IF(Scrutateur!A91&lt;50,"Master 40+","Master 50+"))))))</f>
        <v/>
      </c>
      <c r="C91" s="23" t="str">
        <f>IF(ISBLANK(Candidats!J91),"",DATEDIF(Candidats!J91,Listes!$E$2,"y"))</f>
        <v/>
      </c>
      <c r="D91" s="24" t="str">
        <f>IF(ISBLANK(Candidats!J91),"",IF(Scrutateur!C91&lt;10,"Benjamin",IF(Scrutateur!C91&lt;14,"Junior 1",IF(Scrutateur!C91&lt;18,"Junior 2",IF(Scrutateur!C91&lt;40,"Adulte",IF(Scrutateur!C91&lt;50,"Master 40+","Master 50+"))))))</f>
        <v/>
      </c>
      <c r="E91" s="77" t="str">
        <f>IF(Candidats!$M91="OUI",IF(Candidats!$N91="","","Parapole - "&amp;Candidats!$N91),IF(Candidats!$C91="","",IF(Candidats!$H91="",IF(OR($B91="Benjamin",$B91="Junior 1",$B91="Junior 2"),$B91,IF(Candidats!$F91="","",$B91&amp;" "&amp;Candidats!$F91)),IF(AND(COUNTIF($B91,"*Junior*")&gt;0,COUNTIF($D91,"*Junior*")&gt;0),"Double Juniors","Double Adultes"))))</f>
        <v/>
      </c>
    </row>
    <row r="92" spans="1:5" x14ac:dyDescent="0.2">
      <c r="A92" s="17" t="str">
        <f>IF(ISBLANK(Candidats!E92),"",DATEDIF(Candidats!E92,Listes!$E$2,"y"))</f>
        <v/>
      </c>
      <c r="B92" s="18" t="str">
        <f>IF(ISBLANK(Candidats!E92),"",IF(Scrutateur!A92&lt;10,"Benjamin",IF(Scrutateur!A92&lt;14,"Junior 1",IF(Scrutateur!A92&lt;18,"Junior 2",IF(Scrutateur!A92&lt;40,"Adulte",IF(Scrutateur!A92&lt;50,"Master 40+","Master 50+"))))))</f>
        <v/>
      </c>
      <c r="C92" s="23" t="str">
        <f>IF(ISBLANK(Candidats!J92),"",DATEDIF(Candidats!J92,Listes!$E$2,"y"))</f>
        <v/>
      </c>
      <c r="D92" s="24" t="str">
        <f>IF(ISBLANK(Candidats!J92),"",IF(Scrutateur!C92&lt;10,"Benjamin",IF(Scrutateur!C92&lt;14,"Junior 1",IF(Scrutateur!C92&lt;18,"Junior 2",IF(Scrutateur!C92&lt;40,"Adulte",IF(Scrutateur!C92&lt;50,"Master 40+","Master 50+"))))))</f>
        <v/>
      </c>
      <c r="E92" s="77" t="str">
        <f>IF(Candidats!$M92="OUI",IF(Candidats!$N92="","","Parapole - "&amp;Candidats!$N92),IF(Candidats!$C92="","",IF(Candidats!$H92="",IF(OR($B92="Benjamin",$B92="Junior 1",$B92="Junior 2"),$B92,IF(Candidats!$F92="","",$B92&amp;" "&amp;Candidats!$F92)),IF(AND(COUNTIF($B92,"*Junior*")&gt;0,COUNTIF($D92,"*Junior*")&gt;0),"Double Juniors","Double Adultes"))))</f>
        <v/>
      </c>
    </row>
    <row r="93" spans="1:5" x14ac:dyDescent="0.2">
      <c r="A93" s="17" t="str">
        <f>IF(ISBLANK(Candidats!E93),"",DATEDIF(Candidats!E93,Listes!$E$2,"y"))</f>
        <v/>
      </c>
      <c r="B93" s="18" t="str">
        <f>IF(ISBLANK(Candidats!E93),"",IF(Scrutateur!A93&lt;10,"Benjamin",IF(Scrutateur!A93&lt;14,"Junior 1",IF(Scrutateur!A93&lt;18,"Junior 2",IF(Scrutateur!A93&lt;40,"Adulte",IF(Scrutateur!A93&lt;50,"Master 40+","Master 50+"))))))</f>
        <v/>
      </c>
      <c r="C93" s="23" t="str">
        <f>IF(ISBLANK(Candidats!J93),"",DATEDIF(Candidats!J93,Listes!$E$2,"y"))</f>
        <v/>
      </c>
      <c r="D93" s="24" t="str">
        <f>IF(ISBLANK(Candidats!J93),"",IF(Scrutateur!C93&lt;10,"Benjamin",IF(Scrutateur!C93&lt;14,"Junior 1",IF(Scrutateur!C93&lt;18,"Junior 2",IF(Scrutateur!C93&lt;40,"Adulte",IF(Scrutateur!C93&lt;50,"Master 40+","Master 50+"))))))</f>
        <v/>
      </c>
      <c r="E93" s="77" t="str">
        <f>IF(Candidats!$M93="OUI",IF(Candidats!$N93="","","Parapole - "&amp;Candidats!$N93),IF(Candidats!$C93="","",IF(Candidats!$H93="",IF(OR($B93="Benjamin",$B93="Junior 1",$B93="Junior 2"),$B93,IF(Candidats!$F93="","",$B93&amp;" "&amp;Candidats!$F93)),IF(AND(COUNTIF($B93,"*Junior*")&gt;0,COUNTIF($D93,"*Junior*")&gt;0),"Double Juniors","Double Adultes"))))</f>
        <v/>
      </c>
    </row>
    <row r="94" spans="1:5" x14ac:dyDescent="0.2">
      <c r="A94" s="17" t="str">
        <f>IF(ISBLANK(Candidats!E94),"",DATEDIF(Candidats!E94,Listes!$E$2,"y"))</f>
        <v/>
      </c>
      <c r="B94" s="18" t="str">
        <f>IF(ISBLANK(Candidats!E94),"",IF(Scrutateur!A94&lt;10,"Benjamin",IF(Scrutateur!A94&lt;14,"Junior 1",IF(Scrutateur!A94&lt;18,"Junior 2",IF(Scrutateur!A94&lt;40,"Adulte",IF(Scrutateur!A94&lt;50,"Master 40+","Master 50+"))))))</f>
        <v/>
      </c>
      <c r="C94" s="23" t="str">
        <f>IF(ISBLANK(Candidats!J94),"",DATEDIF(Candidats!J94,Listes!$E$2,"y"))</f>
        <v/>
      </c>
      <c r="D94" s="24" t="str">
        <f>IF(ISBLANK(Candidats!J94),"",IF(Scrutateur!C94&lt;10,"Benjamin",IF(Scrutateur!C94&lt;14,"Junior 1",IF(Scrutateur!C94&lt;18,"Junior 2",IF(Scrutateur!C94&lt;40,"Adulte",IF(Scrutateur!C94&lt;50,"Master 40+","Master 50+"))))))</f>
        <v/>
      </c>
      <c r="E94" s="77" t="str">
        <f>IF(Candidats!$M94="OUI",IF(Candidats!$N94="","","Parapole - "&amp;Candidats!$N94),IF(Candidats!$C94="","",IF(Candidats!$H94="",IF(OR($B94="Benjamin",$B94="Junior 1",$B94="Junior 2"),$B94,IF(Candidats!$F94="","",$B94&amp;" "&amp;Candidats!$F94)),IF(AND(COUNTIF($B94,"*Junior*")&gt;0,COUNTIF($D94,"*Junior*")&gt;0),"Double Juniors","Double Adultes"))))</f>
        <v/>
      </c>
    </row>
    <row r="95" spans="1:5" x14ac:dyDescent="0.2">
      <c r="A95" s="17" t="str">
        <f>IF(ISBLANK(Candidats!E95),"",DATEDIF(Candidats!E95,Listes!$E$2,"y"))</f>
        <v/>
      </c>
      <c r="B95" s="18" t="str">
        <f>IF(ISBLANK(Candidats!E95),"",IF(Scrutateur!A95&lt;10,"Benjamin",IF(Scrutateur!A95&lt;14,"Junior 1",IF(Scrutateur!A95&lt;18,"Junior 2",IF(Scrutateur!A95&lt;40,"Adulte",IF(Scrutateur!A95&lt;50,"Master 40+","Master 50+"))))))</f>
        <v/>
      </c>
      <c r="C95" s="23" t="str">
        <f>IF(ISBLANK(Candidats!J95),"",DATEDIF(Candidats!J95,Listes!$E$2,"y"))</f>
        <v/>
      </c>
      <c r="D95" s="24" t="str">
        <f>IF(ISBLANK(Candidats!J95),"",IF(Scrutateur!C95&lt;10,"Benjamin",IF(Scrutateur!C95&lt;14,"Junior 1",IF(Scrutateur!C95&lt;18,"Junior 2",IF(Scrutateur!C95&lt;40,"Adulte",IF(Scrutateur!C95&lt;50,"Master 40+","Master 50+"))))))</f>
        <v/>
      </c>
      <c r="E95" s="77" t="str">
        <f>IF(Candidats!$M95="OUI",IF(Candidats!$N95="","","Parapole - "&amp;Candidats!$N95),IF(Candidats!$C95="","",IF(Candidats!$H95="",IF(OR($B95="Benjamin",$B95="Junior 1",$B95="Junior 2"),$B95,IF(Candidats!$F95="","",$B95&amp;" "&amp;Candidats!$F95)),IF(AND(COUNTIF($B95,"*Junior*")&gt;0,COUNTIF($D95,"*Junior*")&gt;0),"Double Juniors","Double Adultes"))))</f>
        <v/>
      </c>
    </row>
    <row r="96" spans="1:5" x14ac:dyDescent="0.2">
      <c r="A96" s="17" t="str">
        <f>IF(ISBLANK(Candidats!E96),"",DATEDIF(Candidats!E96,Listes!$E$2,"y"))</f>
        <v/>
      </c>
      <c r="B96" s="18" t="str">
        <f>IF(ISBLANK(Candidats!E96),"",IF(Scrutateur!A96&lt;10,"Benjamin",IF(Scrutateur!A96&lt;14,"Junior 1",IF(Scrutateur!A96&lt;18,"Junior 2",IF(Scrutateur!A96&lt;40,"Adulte",IF(Scrutateur!A96&lt;50,"Master 40+","Master 50+"))))))</f>
        <v/>
      </c>
      <c r="C96" s="23" t="str">
        <f>IF(ISBLANK(Candidats!J96),"",DATEDIF(Candidats!J96,Listes!$E$2,"y"))</f>
        <v/>
      </c>
      <c r="D96" s="24" t="str">
        <f>IF(ISBLANK(Candidats!J96),"",IF(Scrutateur!C96&lt;10,"Benjamin",IF(Scrutateur!C96&lt;14,"Junior 1",IF(Scrutateur!C96&lt;18,"Junior 2",IF(Scrutateur!C96&lt;40,"Adulte",IF(Scrutateur!C96&lt;50,"Master 40+","Master 50+"))))))</f>
        <v/>
      </c>
      <c r="E96" s="77" t="str">
        <f>IF(Candidats!$M96="OUI",IF(Candidats!$N96="","","Parapole - "&amp;Candidats!$N96),IF(Candidats!$C96="","",IF(Candidats!$H96="",IF(OR($B96="Benjamin",$B96="Junior 1",$B96="Junior 2"),$B96,IF(Candidats!$F96="","",$B96&amp;" "&amp;Candidats!$F96)),IF(AND(COUNTIF($B96,"*Junior*")&gt;0,COUNTIF($D96,"*Junior*")&gt;0),"Double Juniors","Double Adultes"))))</f>
        <v/>
      </c>
    </row>
    <row r="97" spans="1:5" x14ac:dyDescent="0.2">
      <c r="A97" s="17" t="str">
        <f>IF(ISBLANK(Candidats!E97),"",DATEDIF(Candidats!E97,Listes!$E$2,"y"))</f>
        <v/>
      </c>
      <c r="B97" s="18" t="str">
        <f>IF(ISBLANK(Candidats!E97),"",IF(Scrutateur!A97&lt;10,"Benjamin",IF(Scrutateur!A97&lt;14,"Junior 1",IF(Scrutateur!A97&lt;18,"Junior 2",IF(Scrutateur!A97&lt;40,"Adulte",IF(Scrutateur!A97&lt;50,"Master 40+","Master 50+"))))))</f>
        <v/>
      </c>
      <c r="C97" s="23" t="str">
        <f>IF(ISBLANK(Candidats!J97),"",DATEDIF(Candidats!J97,Listes!$E$2,"y"))</f>
        <v/>
      </c>
      <c r="D97" s="24" t="str">
        <f>IF(ISBLANK(Candidats!J97),"",IF(Scrutateur!C97&lt;10,"Benjamin",IF(Scrutateur!C97&lt;14,"Junior 1",IF(Scrutateur!C97&lt;18,"Junior 2",IF(Scrutateur!C97&lt;40,"Adulte",IF(Scrutateur!C97&lt;50,"Master 40+","Master 50+"))))))</f>
        <v/>
      </c>
      <c r="E97" s="77" t="str">
        <f>IF(Candidats!$M97="OUI",IF(Candidats!$N97="","","Parapole - "&amp;Candidats!$N97),IF(Candidats!$C97="","",IF(Candidats!$H97="",IF(OR($B97="Benjamin",$B97="Junior 1",$B97="Junior 2"),$B97,IF(Candidats!$F97="","",$B97&amp;" "&amp;Candidats!$F97)),IF(AND(COUNTIF($B97,"*Junior*")&gt;0,COUNTIF($D97,"*Junior*")&gt;0),"Double Juniors","Double Adultes"))))</f>
        <v/>
      </c>
    </row>
    <row r="98" spans="1:5" x14ac:dyDescent="0.2">
      <c r="A98" s="17" t="str">
        <f>IF(ISBLANK(Candidats!E99),"",DATEDIF(Candidats!E99,Listes!$E$2,"y"))</f>
        <v/>
      </c>
      <c r="B98" s="18" t="str">
        <f>IF(ISBLANK(Candidats!E99),"",IF(Scrutateur!A98&lt;10,"Benjamin",IF(Scrutateur!A98&lt;14,"Junior 1",IF(Scrutateur!A98&lt;18,"Junior 2",IF(Scrutateur!A98&lt;40,"Adulte",IF(Scrutateur!A98&lt;50,"Master 40+","Master 50+"))))))</f>
        <v/>
      </c>
      <c r="C98" s="23" t="str">
        <f>IF(ISBLANK(Candidats!J99),"",DATEDIF(Candidats!J99,Listes!$E$2,"y"))</f>
        <v/>
      </c>
      <c r="D98" s="24" t="str">
        <f>IF(ISBLANK(Candidats!J99),"",IF(Scrutateur!C98&lt;10,"Benjamin",IF(Scrutateur!C98&lt;14,"Junior 1",IF(Scrutateur!C98&lt;18,"Junior 2",IF(Scrutateur!C98&lt;40,"Adulte",IF(Scrutateur!C98&lt;50,"Master 40+","Master 50+"))))))</f>
        <v/>
      </c>
      <c r="E98" s="77" t="str">
        <f>IF(Candidats!$M99="OUI",IF(Candidats!$N99="","","Parapole - "&amp;Candidats!$N99),IF(Candidats!$C99="","",IF(Candidats!$H99="",IF(OR($B98="Benjamin",$B98="Junior 1",$B98="Junior 2"),$B98,IF(Candidats!$F99="","",$B98&amp;" "&amp;Candidats!$F99)),IF(AND(COUNTIF($B98,"*Junior*")&gt;0,COUNTIF($D98,"*Junior*")&gt;0),"Double Juniors","Double Adultes"))))</f>
        <v/>
      </c>
    </row>
    <row r="99" spans="1:5" x14ac:dyDescent="0.2">
      <c r="A99" s="17" t="str">
        <f>IF(ISBLANK(Candidats!E100),"",DATEDIF(Candidats!E100,Listes!$E$2,"y"))</f>
        <v/>
      </c>
      <c r="B99" s="18" t="str">
        <f>IF(ISBLANK(Candidats!E100),"",IF(Scrutateur!A99&lt;10,"Benjamin",IF(Scrutateur!A99&lt;14,"Junior 1",IF(Scrutateur!A99&lt;18,"Junior 2",IF(Scrutateur!A99&lt;40,"Adulte",IF(Scrutateur!A99&lt;50,"Master 40+","Master 50+"))))))</f>
        <v/>
      </c>
      <c r="C99" s="23" t="str">
        <f>IF(ISBLANK(Candidats!J100),"",DATEDIF(Candidats!J100,Listes!$E$2,"y"))</f>
        <v/>
      </c>
      <c r="D99" s="24" t="str">
        <f>IF(ISBLANK(Candidats!J100),"",IF(Scrutateur!C99&lt;10,"Benjamin",IF(Scrutateur!C99&lt;14,"Junior 1",IF(Scrutateur!C99&lt;18,"Junior 2",IF(Scrutateur!C99&lt;40,"Adulte",IF(Scrutateur!C99&lt;50,"Master 40+","Master 50+"))))))</f>
        <v/>
      </c>
      <c r="E99" s="77" t="str">
        <f>IF(Candidats!$M100="OUI",IF(Candidats!$N100="","","Parapole - "&amp;Candidats!$N100),IF(Candidats!$C100="","",IF(Candidats!$H100="",IF(OR($B99="Benjamin",$B99="Junior 1",$B99="Junior 2"),$B99,IF(Candidats!$F100="","",$B99&amp;" "&amp;Candidats!$F100)),IF(AND(COUNTIF($B99,"*Junior*")&gt;0,COUNTIF($D99,"*Junior*")&gt;0),"Double Juniors","Double Adultes"))))</f>
        <v/>
      </c>
    </row>
    <row r="100" spans="1:5" x14ac:dyDescent="0.2">
      <c r="A100" s="17" t="str">
        <f>IF(ISBLANK(Candidats!E101),"",DATEDIF(Candidats!E101,Listes!$E$2,"y"))</f>
        <v/>
      </c>
      <c r="B100" s="18" t="str">
        <f>IF(ISBLANK(Candidats!E101),"",IF(Scrutateur!A100&lt;10,"Benjamin",IF(Scrutateur!A100&lt;14,"Junior 1",IF(Scrutateur!A100&lt;18,"Junior 2",IF(Scrutateur!A100&lt;40,"Adulte",IF(Scrutateur!A100&lt;50,"Master 40+","Master 50+"))))))</f>
        <v/>
      </c>
      <c r="C100" s="23" t="str">
        <f>IF(ISBLANK(Candidats!J101),"",DATEDIF(Candidats!J101,Listes!$E$2,"y"))</f>
        <v/>
      </c>
      <c r="D100" s="24" t="str">
        <f>IF(ISBLANK(Candidats!J101),"",IF(Scrutateur!C100&lt;10,"Benjamin",IF(Scrutateur!C100&lt;14,"Junior 1",IF(Scrutateur!C100&lt;18,"Junior 2",IF(Scrutateur!C100&lt;40,"Adulte",IF(Scrutateur!C100&lt;50,"Master 40+","Master 50+"))))))</f>
        <v/>
      </c>
      <c r="E100" s="77" t="str">
        <f>IF(Candidats!$M101="OUI",IF(Candidats!$N101="","","Parapole - "&amp;Candidats!$N101),IF(Candidats!$C101="","",IF(Candidats!$H101="",IF(OR($B100="Benjamin",$B100="Junior 1",$B100="Junior 2"),$B100,IF(Candidats!$F101="","",$B100&amp;" "&amp;Candidats!$F101)),IF(AND(COUNTIF($B100,"*Junior*")&gt;0,COUNTIF($D100,"*Junior*")&gt;0),"Double Juniors","Double Adultes"))))</f>
        <v/>
      </c>
    </row>
    <row r="101" spans="1:5" x14ac:dyDescent="0.2">
      <c r="A101" s="17" t="str">
        <f>IF(ISBLANK(Candidats!E102),"",DATEDIF(Candidats!E102,Listes!$E$2,"y"))</f>
        <v/>
      </c>
      <c r="B101" s="18" t="str">
        <f>IF(ISBLANK(Candidats!E102),"",IF(Scrutateur!A101&lt;10,"Benjamin",IF(Scrutateur!A101&lt;14,"Junior 1",IF(Scrutateur!A101&lt;18,"Junior 2",IF(Scrutateur!A101&lt;40,"Adulte",IF(Scrutateur!A101&lt;50,"Master 40+","Master 50+"))))))</f>
        <v/>
      </c>
      <c r="C101" s="23" t="str">
        <f>IF(ISBLANK(Candidats!J102),"",DATEDIF(Candidats!J102,Listes!$E$2,"y"))</f>
        <v/>
      </c>
      <c r="D101" s="24" t="str">
        <f>IF(ISBLANK(Candidats!J102),"",IF(Scrutateur!C101&lt;10,"Benjamin",IF(Scrutateur!C101&lt;14,"Junior 1",IF(Scrutateur!C101&lt;18,"Junior 2",IF(Scrutateur!C101&lt;40,"Adulte",IF(Scrutateur!C101&lt;50,"Master 40+","Master 50+"))))))</f>
        <v/>
      </c>
      <c r="E101" s="77" t="str">
        <f>IF(Candidats!$M102="OUI",IF(Candidats!$N102="","","Parapole - "&amp;Candidats!$N102),IF(Candidats!$C102="","",IF(Candidats!$H102="",IF(OR($B101="Benjamin",$B101="Junior 1",$B101="Junior 2"),$B101,IF(Candidats!$F102="","",$B101&amp;" "&amp;Candidats!$F102)),IF(AND(COUNTIF($B101,"*Junior*")&gt;0,COUNTIF($D101,"*Junior*")&gt;0),"Double Juniors","Double Adultes"))))</f>
        <v/>
      </c>
    </row>
    <row r="102" spans="1:5" x14ac:dyDescent="0.2">
      <c r="A102" s="17" t="str">
        <f>IF(ISBLANK(Candidats!E103),"",DATEDIF(Candidats!E103,Listes!$E$2,"y"))</f>
        <v/>
      </c>
      <c r="B102" s="18" t="str">
        <f>IF(ISBLANK(Candidats!E103),"",IF(Scrutateur!A102&lt;10,"Benjamin",IF(Scrutateur!A102&lt;14,"Junior 1",IF(Scrutateur!A102&lt;18,"Junior 2",IF(Scrutateur!A102&lt;40,"Adulte",IF(Scrutateur!A102&lt;50,"Master 40+","Master 50+"))))))</f>
        <v/>
      </c>
      <c r="C102" s="23" t="str">
        <f>IF(ISBLANK(Candidats!J103),"",DATEDIF(Candidats!J103,Listes!$E$2,"y"))</f>
        <v/>
      </c>
      <c r="D102" s="24" t="str">
        <f>IF(ISBLANK(Candidats!J103),"",IF(Scrutateur!C102&lt;10,"Benjamin",IF(Scrutateur!C102&lt;14,"Junior 1",IF(Scrutateur!C102&lt;18,"Junior 2",IF(Scrutateur!C102&lt;40,"Adulte",IF(Scrutateur!C102&lt;50,"Master 40+","Master 50+"))))))</f>
        <v/>
      </c>
      <c r="E102" s="77" t="str">
        <f>IF(Candidats!$M103="OUI",IF(Candidats!$N103="","","Parapole - "&amp;Candidats!$N103),IF(Candidats!$C103="","",IF(Candidats!$H103="",IF(OR($B102="Benjamin",$B102="Junior 1",$B102="Junior 2"),$B102,IF(Candidats!$F103="","",$B102&amp;" "&amp;Candidats!$F103)),IF(AND(COUNTIF($B102,"*Junior*")&gt;0,COUNTIF($D102,"*Junior*")&gt;0),"Double Juniors","Double Adultes"))))</f>
        <v/>
      </c>
    </row>
  </sheetData>
  <sheetProtection algorithmName="SHA-512" hashValue="4jKg6Ybb70I5TzjDmhfuz9kEYRFXUgIq62P60eMttTyvlPfyeYqDW/YAa01VNVXgcA8sVZlQlaGWA+l1UFizYA==" saltValue="0/1BpMSU0NW1L8nWmhq/Dg==" spinCount="100000" sheet="1" objects="1" scenarios="1" selectLockedCells="1"/>
  <dataValidations count="1">
    <dataValidation allowBlank="1" showErrorMessage="1" sqref="A103:B1048576" xr:uid="{FAC9E2CB-62C0-4C25-9220-3E52888E9333}"/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2</vt:i4>
      </vt:variant>
    </vt:vector>
  </HeadingPairs>
  <TitlesOfParts>
    <vt:vector size="6" baseType="lpstr">
      <vt:lpstr>Utilisation</vt:lpstr>
      <vt:lpstr>Candidats</vt:lpstr>
      <vt:lpstr>Listes</vt:lpstr>
      <vt:lpstr>Scrutateur</vt:lpstr>
      <vt:lpstr>Liste_Catég.</vt:lpstr>
      <vt:lpstr>ListePara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Frédérick LE MARTRET</dc:creator>
  <cp:lastModifiedBy>Frédérick LE MARTRET</cp:lastModifiedBy>
  <dcterms:created xsi:type="dcterms:W3CDTF">2023-09-28T16:48:51Z</dcterms:created>
  <dcterms:modified xsi:type="dcterms:W3CDTF">2026-06-17T16:13:47Z</dcterms:modified>
</cp:coreProperties>
</file>